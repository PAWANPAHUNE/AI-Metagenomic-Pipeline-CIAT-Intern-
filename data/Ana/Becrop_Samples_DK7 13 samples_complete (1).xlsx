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a_salgado_cgiar_org/Documents/Biotechnology projects/M4NCO/Biomemakers Microbiome/"/>
    </mc:Choice>
  </mc:AlternateContent>
  <xr:revisionPtr revIDLastSave="0" documentId="8_{FE195968-0EC5-4B9B-9FCA-D9CB6B1306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os del suelo" sheetId="1" r:id="rId1"/>
    <sheet name="Options_DO_NOT_EDIT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9aVHzgaRUSGW7Dc+SH1p6aFA3djte5aftQ0wi+amZzc="/>
    </ext>
  </extLst>
</workbook>
</file>

<file path=xl/calcChain.xml><?xml version="1.0" encoding="utf-8"?>
<calcChain xmlns="http://schemas.openxmlformats.org/spreadsheetml/2006/main">
  <c r="M19" i="1" l="1"/>
  <c r="M18" i="1"/>
  <c r="M17" i="1"/>
  <c r="M15" i="1"/>
  <c r="M14" i="1"/>
  <c r="M13" i="1"/>
  <c r="M12" i="1"/>
  <c r="M16" i="1"/>
  <c r="M31" i="1"/>
  <c r="M30" i="1"/>
  <c r="M29" i="1"/>
  <c r="M28" i="1"/>
  <c r="M27" i="1"/>
  <c r="M26" i="1"/>
  <c r="M25" i="1"/>
  <c r="M24" i="1"/>
  <c r="M23" i="1"/>
  <c r="M22" i="1"/>
  <c r="M21" i="1"/>
  <c r="M20" i="1"/>
</calcChain>
</file>

<file path=xl/sharedStrings.xml><?xml version="1.0" encoding="utf-8"?>
<sst xmlns="http://schemas.openxmlformats.org/spreadsheetml/2006/main" count="714" uniqueCount="445">
  <si>
    <t>Hoja de registro de muestras</t>
  </si>
  <si>
    <t>Cliente</t>
  </si>
  <si>
    <t>Centro Internacional de Agricultura Tropical CIAT COLOMBIA (DK7)</t>
  </si>
  <si>
    <t>Cultivo</t>
  </si>
  <si>
    <t>Arroz</t>
  </si>
  <si>
    <t>Registrado por</t>
  </si>
  <si>
    <t>Nombre</t>
  </si>
  <si>
    <t>Ana Maria Salgado</t>
  </si>
  <si>
    <t>Email</t>
  </si>
  <si>
    <t>a.salgado@cgiar.org</t>
  </si>
  <si>
    <t>Crear cuenta online</t>
  </si>
  <si>
    <t>Si</t>
  </si>
  <si>
    <t>NOTA: Los campos marcados con un asterisco (*) son obligatorios. Todos los demás son opcionales.</t>
  </si>
  <si>
    <t>Información básica de muestra</t>
  </si>
  <si>
    <t>Localización *</t>
  </si>
  <si>
    <t>Esquema de bloque</t>
  </si>
  <si>
    <t>Tratamientos</t>
  </si>
  <si>
    <t>Otros</t>
  </si>
  <si>
    <t>Coordenadas *</t>
  </si>
  <si>
    <t>Producto #1</t>
  </si>
  <si>
    <t>Producto #2</t>
  </si>
  <si>
    <t>Producto #3</t>
  </si>
  <si>
    <t>Código *</t>
  </si>
  <si>
    <t>Nombre de muestra *</t>
  </si>
  <si>
    <t>Fecha de
recolección *</t>
  </si>
  <si>
    <t>Nombre de parcela</t>
  </si>
  <si>
    <t>Subcliente *</t>
  </si>
  <si>
    <t>Cultivo *</t>
  </si>
  <si>
    <t>Ciudad *</t>
  </si>
  <si>
    <t>País *</t>
  </si>
  <si>
    <t>Formato:
Grados Minutos Segundos (DMS)
41º39'51.5"N 4º42'15.3"W
O
Grados Decimales (DD)
41.664,-4.704</t>
  </si>
  <si>
    <t>Variedad</t>
  </si>
  <si>
    <t>Densidad
(plantas/hectarea)</t>
  </si>
  <si>
    <t>Densidad
(plantas/acre)</t>
  </si>
  <si>
    <t>Density DB (plants/hectare)</t>
  </si>
  <si>
    <t>Año
plantación</t>
  </si>
  <si>
    <t>Cultivo del
año previo</t>
  </si>
  <si>
    <t>Uso de
irrigación</t>
  </si>
  <si>
    <t>Tipo de
irrigación</t>
  </si>
  <si>
    <t>Tipo de suelo</t>
  </si>
  <si>
    <t>Prácticas
orgánicas</t>
  </si>
  <si>
    <t>Métodos
biodinámicos</t>
  </si>
  <si>
    <t>Tipo</t>
  </si>
  <si>
    <t>Fecha de
aplicación</t>
  </si>
  <si>
    <t>Dosis</t>
  </si>
  <si>
    <t>Comentarios</t>
  </si>
  <si>
    <t>Cultivador</t>
  </si>
  <si>
    <t>DK7000</t>
  </si>
  <si>
    <t>Piscina 5 M4</t>
  </si>
  <si>
    <t>P5 control</t>
  </si>
  <si>
    <t>Palmira</t>
  </si>
  <si>
    <t>Colombia</t>
  </si>
  <si>
    <t xml:space="preserve"> 3° 29' 42.515''	O 76° 21' 6.732''
</t>
  </si>
  <si>
    <t>Maiz ICA V 305</t>
  </si>
  <si>
    <t>Maíz</t>
  </si>
  <si>
    <t>Regular</t>
  </si>
  <si>
    <t>Superficie</t>
  </si>
  <si>
    <t>Arcilloso</t>
  </si>
  <si>
    <t>No</t>
  </si>
  <si>
    <t>Herbicida</t>
  </si>
  <si>
    <t>Glifosato</t>
  </si>
  <si>
    <t>5l/ha</t>
  </si>
  <si>
    <t>Glufosinato de amonio</t>
  </si>
  <si>
    <t>3l/ha</t>
  </si>
  <si>
    <t>Gramoxone</t>
  </si>
  <si>
    <t>1.5l/ha</t>
  </si>
  <si>
    <t>DK7001</t>
  </si>
  <si>
    <t>Piscina 4 M4</t>
  </si>
  <si>
    <t>P4 BH72</t>
  </si>
  <si>
    <t xml:space="preserve">N 3° 29' 42.479''	O 76° 21' 6.904''
</t>
  </si>
  <si>
    <t>DK7002</t>
  </si>
  <si>
    <t>Piscina 3 M4</t>
  </si>
  <si>
    <t>P3 KH32C</t>
  </si>
  <si>
    <t xml:space="preserve">N 3° 29' 42.439''	O 76° 21' 7.052''
</t>
  </si>
  <si>
    <t>DK7003</t>
  </si>
  <si>
    <t>Piscina 2 M4</t>
  </si>
  <si>
    <t>P2 control</t>
  </si>
  <si>
    <t xml:space="preserve">N 3° 29' 42.317''	O 76° 21' 7.185''
</t>
  </si>
  <si>
    <t>DK7004</t>
  </si>
  <si>
    <t>Piscina 1 M4</t>
  </si>
  <si>
    <t>P1 KH32C</t>
  </si>
  <si>
    <t xml:space="preserve">	N 3° 29' 42.274''	O 76° 21' 7.336''</t>
  </si>
  <si>
    <t>DK7005</t>
  </si>
  <si>
    <t>Piscina 5 M4_F</t>
  </si>
  <si>
    <t>DK7006</t>
  </si>
  <si>
    <t>Piscina 4 M4_F</t>
  </si>
  <si>
    <t>DK7007</t>
  </si>
  <si>
    <t>Piscina 3 M4_F</t>
  </si>
  <si>
    <t>DK7008</t>
  </si>
  <si>
    <t>KH_N100_1</t>
  </si>
  <si>
    <t>N 3.495065, W -76.351803</t>
  </si>
  <si>
    <t>DK7009</t>
  </si>
  <si>
    <t>KH_N0_1</t>
  </si>
  <si>
    <t>N 3.495232, W -76.351848</t>
  </si>
  <si>
    <t>DK700A</t>
  </si>
  <si>
    <t>BH_N100_1</t>
  </si>
  <si>
    <t>N 3.495082, W -76.351753</t>
  </si>
  <si>
    <t>DK700B</t>
  </si>
  <si>
    <t>BH_N0_1</t>
  </si>
  <si>
    <t>N 3.495259, W -76.351804</t>
  </si>
  <si>
    <t>DK700C</t>
  </si>
  <si>
    <t>CO_N100_1</t>
  </si>
  <si>
    <t>N 3.495083, W -76.351708</t>
  </si>
  <si>
    <t>DK700D</t>
  </si>
  <si>
    <t>CO_N0_1</t>
  </si>
  <si>
    <t>N 3.495264, W -76.351761</t>
  </si>
  <si>
    <t>Warning: do not edit this sheet, it is needed for the automatic sample metadata import process</t>
  </si>
  <si>
    <t>Version</t>
  </si>
  <si>
    <t>Columns</t>
  </si>
  <si>
    <t>boolean (index)</t>
  </si>
  <si>
    <t>boolean (values)</t>
  </si>
  <si>
    <t>irrigation_usage (index)</t>
  </si>
  <si>
    <t>irrigation_usage (values)</t>
  </si>
  <si>
    <t>irrigation_type (index)</t>
  </si>
  <si>
    <t>irrigation_type (values)</t>
  </si>
  <si>
    <t>treatment_type (index)</t>
  </si>
  <si>
    <t>treatment_type (values)</t>
  </si>
  <si>
    <t>crop (index)</t>
  </si>
  <si>
    <t>crop (values)</t>
  </si>
  <si>
    <t>soil_type (index)</t>
  </si>
  <si>
    <t>soil_type (values)</t>
  </si>
  <si>
    <t>subclients (index)</t>
  </si>
  <si>
    <t>subclients (values)</t>
  </si>
  <si>
    <t>código*</t>
  </si>
  <si>
    <t>Fertilizante sintético</t>
  </si>
  <si>
    <t>Abacá (cáñamo de Manila)</t>
  </si>
  <si>
    <t>Desconocido</t>
  </si>
  <si>
    <t>nombredemuestra*</t>
  </si>
  <si>
    <t>Semi-regular</t>
  </si>
  <si>
    <t>Aspersor</t>
  </si>
  <si>
    <t>Fertilizante orgánico</t>
  </si>
  <si>
    <t>Abedul</t>
  </si>
  <si>
    <t>fechaderecolección*</t>
  </si>
  <si>
    <t>Raramente</t>
  </si>
  <si>
    <t>Goteo</t>
  </si>
  <si>
    <t>Inoculante Microbiano</t>
  </si>
  <si>
    <t>Aceite de palma</t>
  </si>
  <si>
    <t>Arenoso</t>
  </si>
  <si>
    <t>nombredeparcela</t>
  </si>
  <si>
    <t>No irrigado</t>
  </si>
  <si>
    <t>Subsuperficie</t>
  </si>
  <si>
    <t>Otro tratamiento</t>
  </si>
  <si>
    <t>Aceituna</t>
  </si>
  <si>
    <t>Limoso</t>
  </si>
  <si>
    <t>subcliente*</t>
  </si>
  <si>
    <t>Otro</t>
  </si>
  <si>
    <t>Achicoria</t>
  </si>
  <si>
    <t>Franco</t>
  </si>
  <si>
    <t>cultivo*</t>
  </si>
  <si>
    <t>Antifúngico</t>
  </si>
  <si>
    <t>Agave</t>
  </si>
  <si>
    <t>Arcillo-arenoso</t>
  </si>
  <si>
    <t>ciudad*</t>
  </si>
  <si>
    <t>Pesticida</t>
  </si>
  <si>
    <t>Arcillo-limoso</t>
  </si>
  <si>
    <t>país*</t>
  </si>
  <si>
    <t>Otras practicas</t>
  </si>
  <si>
    <t>Aguacate</t>
  </si>
  <si>
    <t>Franco-arcilloso</t>
  </si>
  <si>
    <t>formato:gradosminutossegundos(dms)41º39'51.5"n4º42'15.3"wogradosdecimales(dd)41.664,-4.704</t>
  </si>
  <si>
    <t>Ajo</t>
  </si>
  <si>
    <t>Arenoso-franco</t>
  </si>
  <si>
    <t>variedad</t>
  </si>
  <si>
    <t>Albahaca</t>
  </si>
  <si>
    <t>Franco-arenoso</t>
  </si>
  <si>
    <t>densidad(plantas/hectarea)</t>
  </si>
  <si>
    <t>Albaricoque</t>
  </si>
  <si>
    <t>Franco-limoso</t>
  </si>
  <si>
    <t>densidad(plantas/acre)</t>
  </si>
  <si>
    <t>Alcachofa</t>
  </si>
  <si>
    <t>Franco-arcillo-arenoso</t>
  </si>
  <si>
    <t>densitydb(plants/hectare)</t>
  </si>
  <si>
    <t>Alcachofa de Jerusalem</t>
  </si>
  <si>
    <t>Franco-arcillo-limoso</t>
  </si>
  <si>
    <t>añoplantación</t>
  </si>
  <si>
    <t>Alfalfa</t>
  </si>
  <si>
    <t>cultivodelañoprevio</t>
  </si>
  <si>
    <t>Alforfón</t>
  </si>
  <si>
    <t>usodeirrigación</t>
  </si>
  <si>
    <t>Algarrobo</t>
  </si>
  <si>
    <t>tipodeirrigación</t>
  </si>
  <si>
    <t>Algodón</t>
  </si>
  <si>
    <t>tipodesuelo</t>
  </si>
  <si>
    <t>Alheña</t>
  </si>
  <si>
    <t>prácticasorgánicas</t>
  </si>
  <si>
    <t>Aliso</t>
  </si>
  <si>
    <t>métodosbiodinámicos</t>
  </si>
  <si>
    <t>Almendra</t>
  </si>
  <si>
    <t>tipo</t>
  </si>
  <si>
    <t>Alubias</t>
  </si>
  <si>
    <t>nombre</t>
  </si>
  <si>
    <t>Amaranto</t>
  </si>
  <si>
    <t>fechadeaplicación</t>
  </si>
  <si>
    <t>Anacardos</t>
  </si>
  <si>
    <t>dosis</t>
  </si>
  <si>
    <t>Apio nabo, apio</t>
  </si>
  <si>
    <t>Arabidopsis</t>
  </si>
  <si>
    <t>Arborvitae</t>
  </si>
  <si>
    <t>Arce</t>
  </si>
  <si>
    <t>Arracha</t>
  </si>
  <si>
    <t>Arrurruz</t>
  </si>
  <si>
    <t>Arveja</t>
  </si>
  <si>
    <t>Arándano</t>
  </si>
  <si>
    <t>comentarios</t>
  </si>
  <si>
    <t>Arándano Rojo</t>
  </si>
  <si>
    <t>cultivador</t>
  </si>
  <si>
    <t>Avellana</t>
  </si>
  <si>
    <t>Avena</t>
  </si>
  <si>
    <t>Azafrán</t>
  </si>
  <si>
    <t>Bambú</t>
  </si>
  <si>
    <t>Banana, plátano</t>
  </si>
  <si>
    <t>Batatas</t>
  </si>
  <si>
    <t>Berenjena</t>
  </si>
  <si>
    <t>Bergamota</t>
  </si>
  <si>
    <t>Berro</t>
  </si>
  <si>
    <t>Blusa roja</t>
  </si>
  <si>
    <t>Brócoli y coliflor</t>
  </si>
  <si>
    <t>Bulbos</t>
  </si>
  <si>
    <t>Cacao</t>
  </si>
  <si>
    <t>Café</t>
  </si>
  <si>
    <t>Calabaza</t>
  </si>
  <si>
    <t>Calabaza de peregrino</t>
  </si>
  <si>
    <t>Caladio</t>
  </si>
  <si>
    <t>Canela</t>
  </si>
  <si>
    <t>Canónigo</t>
  </si>
  <si>
    <t>Capoc</t>
  </si>
  <si>
    <t>Caqui</t>
  </si>
  <si>
    <t>Cardamomo</t>
  </si>
  <si>
    <t>Cardo</t>
  </si>
  <si>
    <t>Castaña</t>
  </si>
  <si>
    <t>Caucho</t>
  </si>
  <si>
    <t>Caña de azúcar</t>
  </si>
  <si>
    <t>Cebada</t>
  </si>
  <si>
    <t>Cebada de invierno</t>
  </si>
  <si>
    <t>Cebolla</t>
  </si>
  <si>
    <t>Cedro</t>
  </si>
  <si>
    <t>Centeno</t>
  </si>
  <si>
    <t>Cereza, guinda</t>
  </si>
  <si>
    <t>Chayote</t>
  </si>
  <si>
    <t>Chilli, pimienta seca</t>
  </si>
  <si>
    <t>Chirimoya, Guanábana, Saramuya</t>
  </si>
  <si>
    <t>Chirivía</t>
  </si>
  <si>
    <t>Chopo</t>
  </si>
  <si>
    <t>Chufa</t>
  </si>
  <si>
    <t>Cidra</t>
  </si>
  <si>
    <t>Cilantro</t>
  </si>
  <si>
    <t>Ciperáceas</t>
  </si>
  <si>
    <t>Ciruela y ciruela pasa</t>
  </si>
  <si>
    <t>Citronella</t>
  </si>
  <si>
    <t>Clavo</t>
  </si>
  <si>
    <t>Clementina</t>
  </si>
  <si>
    <t>Coco</t>
  </si>
  <si>
    <t>Cocoyam, Edo</t>
  </si>
  <si>
    <t>Col china</t>
  </si>
  <si>
    <t>Col rizada</t>
  </si>
  <si>
    <t>Coles de Bruselas</t>
  </si>
  <si>
    <t>Colinabo</t>
  </si>
  <si>
    <t>Colza</t>
  </si>
  <si>
    <t>Cáñamo</t>
  </si>
  <si>
    <t>Césped, Hierba</t>
  </si>
  <si>
    <t>Cúrcuma</t>
  </si>
  <si>
    <t>Dasheen, Taro</t>
  </si>
  <si>
    <t>Durián</t>
  </si>
  <si>
    <t>Dátiles</t>
  </si>
  <si>
    <t>Encina</t>
  </si>
  <si>
    <t>Endibia</t>
  </si>
  <si>
    <t>Eneldo</t>
  </si>
  <si>
    <t>Escorzonera</t>
  </si>
  <si>
    <t>Esparto hierba</t>
  </si>
  <si>
    <t>Espelta</t>
  </si>
  <si>
    <t>Espinacas</t>
  </si>
  <si>
    <t>Espárragos</t>
  </si>
  <si>
    <t>Eucalipto</t>
  </si>
  <si>
    <t>Falsa acacia</t>
  </si>
  <si>
    <t>Fenogreco</t>
  </si>
  <si>
    <t>Flores</t>
  </si>
  <si>
    <t>Formio (lino de Nueva Zelanda)</t>
  </si>
  <si>
    <t>Frambuesa</t>
  </si>
  <si>
    <t>Fresa</t>
  </si>
  <si>
    <t>Garbanzo (guisante de gramo)</t>
  </si>
  <si>
    <t>Geranio</t>
  </si>
  <si>
    <t>Girasol</t>
  </si>
  <si>
    <t>Granada</t>
  </si>
  <si>
    <t>Grosellas, grosella espinosa</t>
  </si>
  <si>
    <t>Guayaba</t>
  </si>
  <si>
    <t>Guisante</t>
  </si>
  <si>
    <t>Guisante de tierra (cacahuete bambara)</t>
  </si>
  <si>
    <t>Haba de soja</t>
  </si>
  <si>
    <t>Helicriso</t>
  </si>
  <si>
    <t>Henequén</t>
  </si>
  <si>
    <t>Hierba Bromus</t>
  </si>
  <si>
    <t>Hierba Luisa</t>
  </si>
  <si>
    <t>Hierba de Trigo Intermedio</t>
  </si>
  <si>
    <t>Hierba de huerto</t>
  </si>
  <si>
    <t>Hierba de limón</t>
  </si>
  <si>
    <t>Hierba mate</t>
  </si>
  <si>
    <t>Higo</t>
  </si>
  <si>
    <t>Hinojo</t>
  </si>
  <si>
    <t>Hongos</t>
  </si>
  <si>
    <t>Hortícola</t>
  </si>
  <si>
    <t>Jazmín</t>
  </si>
  <si>
    <t>Jengibre</t>
  </si>
  <si>
    <t>Judía</t>
  </si>
  <si>
    <t>Kenaf</t>
  </si>
  <si>
    <t>Kiri</t>
  </si>
  <si>
    <t>Kiwi</t>
  </si>
  <si>
    <t>Lavanda</t>
  </si>
  <si>
    <t>Lechuga</t>
  </si>
  <si>
    <t>Legumbres</t>
  </si>
  <si>
    <t>Lenteja</t>
  </si>
  <si>
    <t>Lespedeza</t>
  </si>
  <si>
    <t>Lima</t>
  </si>
  <si>
    <t>Limón</t>
  </si>
  <si>
    <t>Lino, Linaza</t>
  </si>
  <si>
    <t>Lotus (trébol)</t>
  </si>
  <si>
    <t>Lychee</t>
  </si>
  <si>
    <t>Lúpulo</t>
  </si>
  <si>
    <t>Macadamia (nuez de Queensland)</t>
  </si>
  <si>
    <t>Maguey</t>
  </si>
  <si>
    <t>Malva</t>
  </si>
  <si>
    <t>Mandarina</t>
  </si>
  <si>
    <t>Mango</t>
  </si>
  <si>
    <t>Manzana</t>
  </si>
  <si>
    <t>Maní</t>
  </si>
  <si>
    <t>Maslin (cereales mixtos)</t>
  </si>
  <si>
    <t>Melocotón</t>
  </si>
  <si>
    <t>Melocotón de Palma</t>
  </si>
  <si>
    <t>Melón</t>
  </si>
  <si>
    <t>Membrillo</t>
  </si>
  <si>
    <t>Menta</t>
  </si>
  <si>
    <t>Mijo (bajra, junco, perla, sorgo)</t>
  </si>
  <si>
    <t>Mijo dedo</t>
  </si>
  <si>
    <t>Mijo italiano</t>
  </si>
  <si>
    <t>Mijo japonés</t>
  </si>
  <si>
    <t>Mijo proso</t>
  </si>
  <si>
    <t>Mimbrera</t>
  </si>
  <si>
    <t>Mora</t>
  </si>
  <si>
    <t>Mostaza</t>
  </si>
  <si>
    <t>Nabo</t>
  </si>
  <si>
    <t>Naranja</t>
  </si>
  <si>
    <t>Naranja amarga</t>
  </si>
  <si>
    <t>Nectarina</t>
  </si>
  <si>
    <t>Nenúfar</t>
  </si>
  <si>
    <t>Nopal, Chumbera</t>
  </si>
  <si>
    <t>Nuez</t>
  </si>
  <si>
    <t>Nuez de Brasil</t>
  </si>
  <si>
    <t>Nuez de betel</t>
  </si>
  <si>
    <t>Nuez de kola</t>
  </si>
  <si>
    <t>Nuez de pecán</t>
  </si>
  <si>
    <t>Nuez moscada y maza</t>
  </si>
  <si>
    <t>Níger semilla</t>
  </si>
  <si>
    <t>Níspero</t>
  </si>
  <si>
    <t>Níspero japonés</t>
  </si>
  <si>
    <t>Okra</t>
  </si>
  <si>
    <t>Opio, semilla de amapola</t>
  </si>
  <si>
    <t>Ortiga roja</t>
  </si>
  <si>
    <t>Palma de Palmyra</t>
  </si>
  <si>
    <t>Panapen</t>
  </si>
  <si>
    <t>Papaya</t>
  </si>
  <si>
    <t>Patata</t>
  </si>
  <si>
    <t>Patata dulce</t>
  </si>
  <si>
    <t>Pepino</t>
  </si>
  <si>
    <t>Pera</t>
  </si>
  <si>
    <t>Perejil</t>
  </si>
  <si>
    <t>Pigeon guisante</t>
  </si>
  <si>
    <t>Pimienta dulce, Pimiento</t>
  </si>
  <si>
    <t>Pimienta negra</t>
  </si>
  <si>
    <t>Pino</t>
  </si>
  <si>
    <t>Pipirigallo</t>
  </si>
  <si>
    <t>Pistacho</t>
  </si>
  <si>
    <t>Pitahaya</t>
  </si>
  <si>
    <t>Piña</t>
  </si>
  <si>
    <t>Plantas ornamentales</t>
  </si>
  <si>
    <t>Pomelo</t>
  </si>
  <si>
    <t>Pomelo chino</t>
  </si>
  <si>
    <t>Prado</t>
  </si>
  <si>
    <t>Puerro</t>
  </si>
  <si>
    <t>Pyrethum</t>
  </si>
  <si>
    <t>Pyrrocoma crocea</t>
  </si>
  <si>
    <t>Quebracho</t>
  </si>
  <si>
    <t>Quinina</t>
  </si>
  <si>
    <t>Quinoa</t>
  </si>
  <si>
    <t>Raigrás</t>
  </si>
  <si>
    <t>Ramie y rhea</t>
  </si>
  <si>
    <t>Regaliz</t>
  </si>
  <si>
    <t>Remolacha</t>
  </si>
  <si>
    <t>Repollo</t>
  </si>
  <si>
    <t>Ricino</t>
  </si>
  <si>
    <t>Roble</t>
  </si>
  <si>
    <t>Rosa</t>
  </si>
  <si>
    <t>Rota</t>
  </si>
  <si>
    <t>Ruibarbo</t>
  </si>
  <si>
    <t>Rutabaga o nabo sueco</t>
  </si>
  <si>
    <t>Rábano</t>
  </si>
  <si>
    <t>Rábano picante</t>
  </si>
  <si>
    <t>Rúcula</t>
  </si>
  <si>
    <t>Sago de palma</t>
  </si>
  <si>
    <t>Salsifí</t>
  </si>
  <si>
    <t>Salvia</t>
  </si>
  <si>
    <t>Sandía</t>
  </si>
  <si>
    <t>Satsuma (Mikan)</t>
  </si>
  <si>
    <t>Saúco</t>
  </si>
  <si>
    <t>Semilla de cártamo</t>
  </si>
  <si>
    <t>Semillas de alcaravea</t>
  </si>
  <si>
    <t>Semillas de anis</t>
  </si>
  <si>
    <t>Sisal</t>
  </si>
  <si>
    <t>Sorgo (durra, sudan, jowar, mijo)</t>
  </si>
  <si>
    <t>Sunhemp</t>
  </si>
  <si>
    <t>Sésamo</t>
  </si>
  <si>
    <t>Tabaco</t>
  </si>
  <si>
    <t>Tannia</t>
  </si>
  <si>
    <t>Teff</t>
  </si>
  <si>
    <t>Timothy</t>
  </si>
  <si>
    <t>Tomate</t>
  </si>
  <si>
    <t>Tomillo</t>
  </si>
  <si>
    <t>Trigo</t>
  </si>
  <si>
    <t>Trigo duro</t>
  </si>
  <si>
    <t>Triticale</t>
  </si>
  <si>
    <t>Trufa</t>
  </si>
  <si>
    <t>Trébol</t>
  </si>
  <si>
    <t>Té</t>
  </si>
  <si>
    <t>Ureña (yute del Congo)</t>
  </si>
  <si>
    <t>Uvas</t>
  </si>
  <si>
    <t>Vainilla</t>
  </si>
  <si>
    <t>Yuca, Mandioca, Tapioca</t>
  </si>
  <si>
    <t>Yute</t>
  </si>
  <si>
    <t>Zanahoria</t>
  </si>
  <si>
    <t>Zapote</t>
  </si>
  <si>
    <t>Zarzamora</t>
  </si>
  <si>
    <t>Zarzo negro</t>
  </si>
  <si>
    <t>common::crop.Aloe</t>
  </si>
  <si>
    <t xml:space="preserve">common::crop.Camphor Tree        </t>
  </si>
  <si>
    <t xml:space="preserve">common::crop.Crape Myrtle Tree   </t>
  </si>
  <si>
    <t>common::crop.Jojoba</t>
  </si>
  <si>
    <t xml:space="preserve">common::crop.King Palm Tree      </t>
  </si>
  <si>
    <t xml:space="preserve">common::crop.Magnolia Tree       </t>
  </si>
  <si>
    <t xml:space="preserve">common::crop.Norfolk Island Pine </t>
  </si>
  <si>
    <t xml:space="preserve">common::crop.Passion Fruit       </t>
  </si>
  <si>
    <t xml:space="preserve">common::crop.Redwood Tree        </t>
  </si>
  <si>
    <t>common::crop.Strelitzia</t>
  </si>
  <si>
    <t>Árbol de Longan</t>
  </si>
  <si>
    <t>Árbol de Tung</t>
  </si>
  <si>
    <t>Árbol de karité</t>
  </si>
  <si>
    <t>Árbol de palitos de tambor</t>
  </si>
  <si>
    <t>Índigo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</si>
</sst>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20"/>
      <color rgb="FFE8D45B"/>
      <name val="Calibri"/>
      <family val="2"/>
    </font>
    <font>
      <b/>
      <sz val="11"/>
      <color rgb="FF22222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ourier"/>
    </font>
    <font>
      <b/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D45B"/>
        <bgColor rgb="FFE8D45B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000000"/>
      </patternFill>
    </fill>
    <fill>
      <patternFill patternType="solid">
        <fgColor rgb="FFFFFF00"/>
        <bgColor rgb="FFFFFFFF"/>
      </patternFill>
    </fill>
  </fills>
  <borders count="14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dotted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49" fontId="6" fillId="3" borderId="4" xfId="0" applyNumberFormat="1" applyFont="1" applyFill="1" applyBorder="1"/>
    <xf numFmtId="49" fontId="5" fillId="3" borderId="4" xfId="0" applyNumberFormat="1" applyFont="1" applyFill="1" applyBorder="1"/>
    <xf numFmtId="164" fontId="5" fillId="3" borderId="4" xfId="0" applyNumberFormat="1" applyFont="1" applyFill="1" applyBorder="1"/>
    <xf numFmtId="0" fontId="5" fillId="3" borderId="4" xfId="0" applyFont="1" applyFill="1" applyBorder="1"/>
    <xf numFmtId="2" fontId="5" fillId="3" borderId="4" xfId="0" applyNumberFormat="1" applyFont="1" applyFill="1" applyBorder="1"/>
    <xf numFmtId="49" fontId="6" fillId="4" borderId="4" xfId="0" applyNumberFormat="1" applyFont="1" applyFill="1" applyBorder="1"/>
    <xf numFmtId="49" fontId="5" fillId="4" borderId="4" xfId="0" applyNumberFormat="1" applyFont="1" applyFill="1" applyBorder="1"/>
    <xf numFmtId="164" fontId="5" fillId="4" borderId="4" xfId="0" applyNumberFormat="1" applyFont="1" applyFill="1" applyBorder="1"/>
    <xf numFmtId="0" fontId="5" fillId="4" borderId="4" xfId="0" applyFont="1" applyFill="1" applyBorder="1"/>
    <xf numFmtId="2" fontId="5" fillId="4" borderId="4" xfId="0" applyNumberFormat="1" applyFont="1" applyFill="1" applyBorder="1"/>
    <xf numFmtId="49" fontId="6" fillId="4" borderId="13" xfId="0" applyNumberFormat="1" applyFont="1" applyFill="1" applyBorder="1"/>
    <xf numFmtId="49" fontId="5" fillId="4" borderId="13" xfId="0" applyNumberFormat="1" applyFont="1" applyFill="1" applyBorder="1"/>
    <xf numFmtId="164" fontId="5" fillId="4" borderId="13" xfId="0" applyNumberFormat="1" applyFont="1" applyFill="1" applyBorder="1"/>
    <xf numFmtId="0" fontId="5" fillId="4" borderId="13" xfId="0" applyFont="1" applyFill="1" applyBorder="1"/>
    <xf numFmtId="2" fontId="5" fillId="4" borderId="13" xfId="0" applyNumberFormat="1" applyFont="1" applyFill="1" applyBorder="1"/>
    <xf numFmtId="0" fontId="7" fillId="0" borderId="0" xfId="0" applyFont="1"/>
    <xf numFmtId="49" fontId="8" fillId="3" borderId="4" xfId="1" applyNumberFormat="1" applyFill="1" applyBorder="1" applyAlignment="1">
      <alignment horizontal="left" vertical="center"/>
    </xf>
    <xf numFmtId="0" fontId="1" fillId="0" borderId="0" xfId="0" applyFont="1"/>
    <xf numFmtId="49" fontId="5" fillId="5" borderId="4" xfId="0" applyNumberFormat="1" applyFont="1" applyFill="1" applyBorder="1" applyProtection="1">
      <protection locked="0"/>
    </xf>
    <xf numFmtId="164" fontId="0" fillId="5" borderId="4" xfId="0" applyNumberFormat="1" applyFill="1" applyBorder="1" applyProtection="1">
      <protection locked="0"/>
    </xf>
    <xf numFmtId="49" fontId="6" fillId="6" borderId="4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2" xfId="0" applyFont="1" applyBorder="1"/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0" borderId="1" xfId="0" applyFont="1" applyBorder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952500"/>
    <xdr:pic>
      <xdr:nvPicPr>
        <xdr:cNvPr id="2" name="image2.png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0</xdr:row>
      <xdr:rowOff>0</xdr:rowOff>
    </xdr:from>
    <xdr:ext cx="3171825" cy="952500"/>
    <xdr:pic>
      <xdr:nvPicPr>
        <xdr:cNvPr id="3" name="image1.png" descr="Logo nam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.salgado@cgiar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00"/>
  <sheetViews>
    <sheetView tabSelected="1" topLeftCell="A9" workbookViewId="0">
      <selection activeCell="D23" sqref="D23"/>
    </sheetView>
  </sheetViews>
  <sheetFormatPr defaultColWidth="14.453125" defaultRowHeight="15" customHeight="1" x14ac:dyDescent="0.35"/>
  <cols>
    <col min="1" max="1" width="16" customWidth="1"/>
    <col min="2" max="2" width="25" customWidth="1"/>
    <col min="3" max="3" width="20" customWidth="1"/>
    <col min="4" max="4" width="25" customWidth="1"/>
    <col min="5" max="5" width="25" hidden="1" customWidth="1"/>
    <col min="6" max="6" width="15" hidden="1" customWidth="1"/>
    <col min="7" max="8" width="20" customWidth="1"/>
    <col min="9" max="9" width="32" customWidth="1"/>
    <col min="10" max="11" width="20" customWidth="1"/>
    <col min="12" max="12" width="20" hidden="1" customWidth="1"/>
    <col min="13" max="13" width="9.1796875" hidden="1" customWidth="1"/>
    <col min="14" max="14" width="15" hidden="1" customWidth="1"/>
    <col min="15" max="20" width="15" customWidth="1"/>
    <col min="21" max="22" width="20" customWidth="1"/>
    <col min="23" max="23" width="15" customWidth="1"/>
    <col min="24" max="26" width="20" customWidth="1"/>
    <col min="27" max="27" width="15" customWidth="1"/>
    <col min="28" max="30" width="20" customWidth="1"/>
    <col min="31" max="31" width="15" customWidth="1"/>
    <col min="32" max="32" width="20" customWidth="1"/>
    <col min="33" max="34" width="40" customWidth="1"/>
    <col min="35" max="54" width="8.7265625" customWidth="1"/>
  </cols>
  <sheetData>
    <row r="1" spans="1:54" ht="79.5" customHeight="1" x14ac:dyDescent="0.35">
      <c r="A1" s="39"/>
      <c r="B1" s="39"/>
      <c r="C1" s="39"/>
      <c r="D1" s="39"/>
      <c r="F1" s="1" t="s">
        <v>0</v>
      </c>
    </row>
    <row r="2" spans="1:54" ht="19.5" customHeight="1" x14ac:dyDescent="0.35">
      <c r="A2" s="40" t="s">
        <v>1</v>
      </c>
      <c r="B2" s="31"/>
      <c r="C2" s="25" t="s">
        <v>2</v>
      </c>
    </row>
    <row r="3" spans="1:54" ht="19.5" customHeight="1" x14ac:dyDescent="0.35">
      <c r="A3" s="40" t="s">
        <v>3</v>
      </c>
      <c r="B3" s="31"/>
      <c r="C3" s="25" t="s">
        <v>4</v>
      </c>
    </row>
    <row r="4" spans="1:54" ht="19.5" customHeight="1" x14ac:dyDescent="0.35">
      <c r="A4" s="41" t="s">
        <v>5</v>
      </c>
      <c r="B4" s="2" t="s">
        <v>6</v>
      </c>
      <c r="C4" s="3" t="s">
        <v>7</v>
      </c>
    </row>
    <row r="5" spans="1:54" ht="14.25" customHeight="1" x14ac:dyDescent="0.35">
      <c r="A5" s="42"/>
      <c r="B5" s="25" t="s">
        <v>8</v>
      </c>
      <c r="C5" s="24" t="s">
        <v>9</v>
      </c>
    </row>
    <row r="6" spans="1:54" ht="19.5" customHeight="1" x14ac:dyDescent="0.35">
      <c r="A6" s="40" t="s">
        <v>10</v>
      </c>
      <c r="B6" s="31"/>
      <c r="C6" s="4" t="s">
        <v>11</v>
      </c>
    </row>
    <row r="7" spans="1:54" ht="14.25" customHeight="1" x14ac:dyDescent="0.35"/>
    <row r="8" spans="1:54" ht="24.75" customHeight="1" x14ac:dyDescent="0.35">
      <c r="A8" s="38" t="s">
        <v>12</v>
      </c>
      <c r="B8" s="30"/>
      <c r="C8" s="30"/>
      <c r="D8" s="31"/>
    </row>
    <row r="9" spans="1:54" ht="39.75" customHeight="1" x14ac:dyDescent="0.35">
      <c r="A9" s="32" t="s">
        <v>13</v>
      </c>
      <c r="B9" s="33"/>
      <c r="C9" s="33"/>
      <c r="D9" s="33"/>
      <c r="E9" s="33"/>
      <c r="F9" s="34"/>
      <c r="G9" s="29" t="s">
        <v>14</v>
      </c>
      <c r="H9" s="30"/>
      <c r="I9" s="31"/>
      <c r="J9" s="32" t="s">
        <v>15</v>
      </c>
      <c r="K9" s="33"/>
      <c r="L9" s="33"/>
      <c r="M9" s="33"/>
      <c r="N9" s="33"/>
      <c r="O9" s="33"/>
      <c r="P9" s="33"/>
      <c r="Q9" s="33"/>
      <c r="R9" s="33"/>
      <c r="S9" s="33"/>
      <c r="T9" s="34"/>
      <c r="U9" s="29" t="s">
        <v>16</v>
      </c>
      <c r="V9" s="30"/>
      <c r="W9" s="30"/>
      <c r="X9" s="30"/>
      <c r="Y9" s="30"/>
      <c r="Z9" s="30"/>
      <c r="AA9" s="30"/>
      <c r="AB9" s="30"/>
      <c r="AC9" s="30"/>
      <c r="AD9" s="30"/>
      <c r="AE9" s="30"/>
      <c r="AF9" s="31"/>
      <c r="AG9" s="32" t="s">
        <v>17</v>
      </c>
      <c r="AH9" s="34"/>
    </row>
    <row r="10" spans="1:54" ht="39.75" customHeight="1" x14ac:dyDescent="0.35">
      <c r="A10" s="35"/>
      <c r="B10" s="36"/>
      <c r="C10" s="36"/>
      <c r="D10" s="36"/>
      <c r="E10" s="36"/>
      <c r="F10" s="37"/>
      <c r="G10" s="29" t="s">
        <v>14</v>
      </c>
      <c r="H10" s="31"/>
      <c r="I10" s="5" t="s">
        <v>18</v>
      </c>
      <c r="J10" s="35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29" t="s">
        <v>19</v>
      </c>
      <c r="V10" s="30"/>
      <c r="W10" s="30"/>
      <c r="X10" s="31"/>
      <c r="Y10" s="29" t="s">
        <v>20</v>
      </c>
      <c r="Z10" s="30"/>
      <c r="AA10" s="30"/>
      <c r="AB10" s="31"/>
      <c r="AC10" s="29" t="s">
        <v>21</v>
      </c>
      <c r="AD10" s="30"/>
      <c r="AE10" s="30"/>
      <c r="AF10" s="31"/>
      <c r="AG10" s="35"/>
      <c r="AH10" s="37"/>
    </row>
    <row r="11" spans="1:54" ht="28.5" customHeight="1" x14ac:dyDescent="0.35">
      <c r="A11" s="6" t="s">
        <v>22</v>
      </c>
      <c r="B11" s="6" t="s">
        <v>23</v>
      </c>
      <c r="C11" s="6" t="s">
        <v>24</v>
      </c>
      <c r="D11" s="6" t="s">
        <v>25</v>
      </c>
      <c r="E11" s="6" t="s">
        <v>26</v>
      </c>
      <c r="F11" s="6" t="s">
        <v>27</v>
      </c>
      <c r="G11" s="6" t="s">
        <v>28</v>
      </c>
      <c r="H11" s="6" t="s">
        <v>29</v>
      </c>
      <c r="I11" s="6" t="s">
        <v>30</v>
      </c>
      <c r="J11" s="6" t="s">
        <v>31</v>
      </c>
      <c r="K11" s="6" t="s">
        <v>32</v>
      </c>
      <c r="L11" s="6" t="s">
        <v>33</v>
      </c>
      <c r="M11" s="6" t="s">
        <v>34</v>
      </c>
      <c r="N11" s="6" t="s">
        <v>35</v>
      </c>
      <c r="O11" s="6" t="s">
        <v>36</v>
      </c>
      <c r="P11" s="6" t="s">
        <v>37</v>
      </c>
      <c r="Q11" s="6" t="s">
        <v>38</v>
      </c>
      <c r="R11" s="6" t="s">
        <v>39</v>
      </c>
      <c r="S11" s="6" t="s">
        <v>40</v>
      </c>
      <c r="T11" s="6" t="s">
        <v>41</v>
      </c>
      <c r="U11" s="6" t="s">
        <v>42</v>
      </c>
      <c r="V11" s="6" t="s">
        <v>6</v>
      </c>
      <c r="W11" s="6" t="s">
        <v>43</v>
      </c>
      <c r="X11" s="6" t="s">
        <v>44</v>
      </c>
      <c r="Y11" s="6" t="s">
        <v>42</v>
      </c>
      <c r="Z11" s="6" t="s">
        <v>6</v>
      </c>
      <c r="AA11" s="6" t="s">
        <v>43</v>
      </c>
      <c r="AB11" s="6" t="s">
        <v>44</v>
      </c>
      <c r="AC11" s="6" t="s">
        <v>42</v>
      </c>
      <c r="AD11" s="6" t="s">
        <v>6</v>
      </c>
      <c r="AE11" s="6" t="s">
        <v>43</v>
      </c>
      <c r="AF11" s="6" t="s">
        <v>44</v>
      </c>
      <c r="AG11" s="6" t="s">
        <v>45</v>
      </c>
      <c r="AH11" s="6" t="s">
        <v>46</v>
      </c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ht="14.25" customHeight="1" x14ac:dyDescent="0.35">
      <c r="A12" s="8" t="s">
        <v>47</v>
      </c>
      <c r="B12" s="9" t="s">
        <v>48</v>
      </c>
      <c r="C12" s="10">
        <v>45891</v>
      </c>
      <c r="D12" s="9" t="s">
        <v>49</v>
      </c>
      <c r="E12" s="11"/>
      <c r="F12" s="11"/>
      <c r="G12" s="9" t="s">
        <v>50</v>
      </c>
      <c r="H12" s="9" t="s">
        <v>51</v>
      </c>
      <c r="I12" s="14" t="s">
        <v>52</v>
      </c>
      <c r="J12" s="14" t="s">
        <v>53</v>
      </c>
      <c r="K12" s="17">
        <v>333000</v>
      </c>
      <c r="L12" s="17"/>
      <c r="M12" s="16">
        <f t="shared" ref="M12:M15" si="0">IF(ISBLANK(K12),L12*0.404686,K12)</f>
        <v>333000</v>
      </c>
      <c r="N12" s="16"/>
      <c r="O12" s="16" t="s">
        <v>54</v>
      </c>
      <c r="P12" s="16" t="s">
        <v>55</v>
      </c>
      <c r="Q12" s="16" t="s">
        <v>56</v>
      </c>
      <c r="R12" s="16" t="s">
        <v>57</v>
      </c>
      <c r="S12" s="16" t="s">
        <v>58</v>
      </c>
      <c r="T12" s="16" t="s">
        <v>58</v>
      </c>
      <c r="U12" s="16" t="s">
        <v>59</v>
      </c>
      <c r="V12" s="14" t="s">
        <v>60</v>
      </c>
      <c r="W12" s="15"/>
      <c r="X12" s="14" t="s">
        <v>61</v>
      </c>
      <c r="Y12" s="16" t="s">
        <v>59</v>
      </c>
      <c r="Z12" s="14" t="s">
        <v>62</v>
      </c>
      <c r="AA12" s="15"/>
      <c r="AB12" s="14" t="s">
        <v>63</v>
      </c>
      <c r="AC12" s="16" t="s">
        <v>59</v>
      </c>
      <c r="AD12" s="14" t="s">
        <v>64</v>
      </c>
      <c r="AE12" s="15"/>
      <c r="AF12" s="14" t="s">
        <v>65</v>
      </c>
      <c r="AG12" s="14"/>
      <c r="AH12" s="14"/>
    </row>
    <row r="13" spans="1:54" ht="14.25" customHeight="1" x14ac:dyDescent="0.35">
      <c r="A13" s="13" t="s">
        <v>66</v>
      </c>
      <c r="B13" s="14" t="s">
        <v>67</v>
      </c>
      <c r="C13" s="15">
        <v>45891</v>
      </c>
      <c r="D13" s="14" t="s">
        <v>68</v>
      </c>
      <c r="E13" s="16"/>
      <c r="F13" s="16"/>
      <c r="G13" s="9" t="s">
        <v>50</v>
      </c>
      <c r="H13" s="9" t="s">
        <v>51</v>
      </c>
      <c r="I13" s="14" t="s">
        <v>69</v>
      </c>
      <c r="J13" s="9" t="s">
        <v>53</v>
      </c>
      <c r="K13" s="12">
        <v>333000</v>
      </c>
      <c r="L13" s="12"/>
      <c r="M13" s="11">
        <f t="shared" si="0"/>
        <v>333000</v>
      </c>
      <c r="N13" s="11"/>
      <c r="O13" s="11" t="s">
        <v>54</v>
      </c>
      <c r="P13" s="11" t="s">
        <v>55</v>
      </c>
      <c r="Q13" s="11" t="s">
        <v>56</v>
      </c>
      <c r="R13" s="11" t="s">
        <v>57</v>
      </c>
      <c r="S13" s="11" t="s">
        <v>58</v>
      </c>
      <c r="T13" s="11" t="s">
        <v>58</v>
      </c>
      <c r="U13" s="11" t="s">
        <v>59</v>
      </c>
      <c r="V13" s="9" t="s">
        <v>60</v>
      </c>
      <c r="W13" s="10"/>
      <c r="X13" s="9" t="s">
        <v>61</v>
      </c>
      <c r="Y13" s="11" t="s">
        <v>59</v>
      </c>
      <c r="Z13" s="9" t="s">
        <v>62</v>
      </c>
      <c r="AA13" s="10"/>
      <c r="AB13" s="9" t="s">
        <v>63</v>
      </c>
      <c r="AC13" s="11" t="s">
        <v>59</v>
      </c>
      <c r="AD13" s="9" t="s">
        <v>64</v>
      </c>
      <c r="AE13" s="10"/>
      <c r="AF13" s="9" t="s">
        <v>65</v>
      </c>
      <c r="AG13" s="9"/>
      <c r="AH13" s="9"/>
    </row>
    <row r="14" spans="1:54" ht="14.25" customHeight="1" x14ac:dyDescent="0.35">
      <c r="A14" s="8" t="s">
        <v>70</v>
      </c>
      <c r="B14" s="9" t="s">
        <v>71</v>
      </c>
      <c r="C14" s="10">
        <v>45891</v>
      </c>
      <c r="D14" s="9" t="s">
        <v>72</v>
      </c>
      <c r="E14" s="11"/>
      <c r="F14" s="11" t="s">
        <v>4</v>
      </c>
      <c r="G14" s="9" t="s">
        <v>50</v>
      </c>
      <c r="H14" s="9" t="s">
        <v>51</v>
      </c>
      <c r="I14" s="14" t="s">
        <v>73</v>
      </c>
      <c r="J14" s="14" t="s">
        <v>53</v>
      </c>
      <c r="K14" s="17">
        <v>333000</v>
      </c>
      <c r="L14" s="17"/>
      <c r="M14" s="16">
        <f t="shared" si="0"/>
        <v>333000</v>
      </c>
      <c r="N14" s="16"/>
      <c r="O14" s="16" t="s">
        <v>54</v>
      </c>
      <c r="P14" s="16" t="s">
        <v>55</v>
      </c>
      <c r="Q14" s="16" t="s">
        <v>56</v>
      </c>
      <c r="R14" s="16" t="s">
        <v>57</v>
      </c>
      <c r="S14" s="16" t="s">
        <v>58</v>
      </c>
      <c r="T14" s="16" t="s">
        <v>58</v>
      </c>
      <c r="U14" s="16" t="s">
        <v>59</v>
      </c>
      <c r="V14" s="14" t="s">
        <v>60</v>
      </c>
      <c r="W14" s="15"/>
      <c r="X14" s="14" t="s">
        <v>61</v>
      </c>
      <c r="Y14" s="16" t="s">
        <v>59</v>
      </c>
      <c r="Z14" s="14" t="s">
        <v>62</v>
      </c>
      <c r="AA14" s="15"/>
      <c r="AB14" s="14" t="s">
        <v>63</v>
      </c>
      <c r="AC14" s="16" t="s">
        <v>59</v>
      </c>
      <c r="AD14" s="14" t="s">
        <v>64</v>
      </c>
      <c r="AE14" s="15"/>
      <c r="AF14" s="14" t="s">
        <v>65</v>
      </c>
      <c r="AG14" s="14"/>
      <c r="AH14" s="14"/>
    </row>
    <row r="15" spans="1:54" ht="14.25" customHeight="1" x14ac:dyDescent="0.35">
      <c r="A15" s="13" t="s">
        <v>74</v>
      </c>
      <c r="B15" s="14" t="s">
        <v>75</v>
      </c>
      <c r="C15" s="15">
        <v>45891</v>
      </c>
      <c r="D15" s="14" t="s">
        <v>76</v>
      </c>
      <c r="E15" s="16"/>
      <c r="F15" s="16" t="s">
        <v>4</v>
      </c>
      <c r="G15" s="9" t="s">
        <v>50</v>
      </c>
      <c r="H15" s="9" t="s">
        <v>51</v>
      </c>
      <c r="I15" s="14" t="s">
        <v>77</v>
      </c>
      <c r="J15" s="9" t="s">
        <v>53</v>
      </c>
      <c r="K15" s="12">
        <v>333000</v>
      </c>
      <c r="L15" s="12"/>
      <c r="M15" s="11">
        <f t="shared" si="0"/>
        <v>333000</v>
      </c>
      <c r="N15" s="11"/>
      <c r="O15" s="11" t="s">
        <v>54</v>
      </c>
      <c r="P15" s="11" t="s">
        <v>55</v>
      </c>
      <c r="Q15" s="11" t="s">
        <v>56</v>
      </c>
      <c r="R15" s="11" t="s">
        <v>57</v>
      </c>
      <c r="S15" s="11" t="s">
        <v>58</v>
      </c>
      <c r="T15" s="11" t="s">
        <v>58</v>
      </c>
      <c r="U15" s="11" t="s">
        <v>59</v>
      </c>
      <c r="V15" s="9" t="s">
        <v>60</v>
      </c>
      <c r="W15" s="10"/>
      <c r="X15" s="9" t="s">
        <v>61</v>
      </c>
      <c r="Y15" s="11" t="s">
        <v>59</v>
      </c>
      <c r="Z15" s="9" t="s">
        <v>62</v>
      </c>
      <c r="AA15" s="10"/>
      <c r="AB15" s="9" t="s">
        <v>63</v>
      </c>
      <c r="AC15" s="11" t="s">
        <v>59</v>
      </c>
      <c r="AD15" s="9" t="s">
        <v>64</v>
      </c>
      <c r="AE15" s="10"/>
      <c r="AF15" s="9" t="s">
        <v>65</v>
      </c>
      <c r="AG15" s="9"/>
      <c r="AH15" s="9"/>
    </row>
    <row r="16" spans="1:54" ht="14.25" customHeight="1" x14ac:dyDescent="0.35">
      <c r="A16" s="8" t="s">
        <v>78</v>
      </c>
      <c r="B16" s="9" t="s">
        <v>79</v>
      </c>
      <c r="C16" s="10">
        <v>45891</v>
      </c>
      <c r="D16" s="9" t="s">
        <v>80</v>
      </c>
      <c r="E16" s="11"/>
      <c r="F16" s="11" t="s">
        <v>4</v>
      </c>
      <c r="G16" s="9" t="s">
        <v>50</v>
      </c>
      <c r="H16" s="9" t="s">
        <v>51</v>
      </c>
      <c r="I16" s="9" t="s">
        <v>81</v>
      </c>
      <c r="J16" s="9" t="s">
        <v>53</v>
      </c>
      <c r="K16" s="12">
        <v>333000</v>
      </c>
      <c r="L16" s="12"/>
      <c r="M16" s="11">
        <f t="shared" ref="M16:M19" si="1">IF(ISBLANK(K16),L16*0.404686,K16)</f>
        <v>333000</v>
      </c>
      <c r="N16" s="11"/>
      <c r="O16" s="11" t="s">
        <v>54</v>
      </c>
      <c r="P16" s="11" t="s">
        <v>55</v>
      </c>
      <c r="Q16" s="11" t="s">
        <v>56</v>
      </c>
      <c r="R16" s="11" t="s">
        <v>57</v>
      </c>
      <c r="S16" s="11" t="s">
        <v>58</v>
      </c>
      <c r="T16" s="11" t="s">
        <v>58</v>
      </c>
      <c r="U16" s="11" t="s">
        <v>59</v>
      </c>
      <c r="V16" s="9" t="s">
        <v>60</v>
      </c>
      <c r="W16" s="10"/>
      <c r="X16" s="9" t="s">
        <v>61</v>
      </c>
      <c r="Y16" s="11" t="s">
        <v>59</v>
      </c>
      <c r="Z16" s="9" t="s">
        <v>62</v>
      </c>
      <c r="AA16" s="10"/>
      <c r="AB16" s="9" t="s">
        <v>63</v>
      </c>
      <c r="AC16" s="11" t="s">
        <v>59</v>
      </c>
      <c r="AD16" s="9" t="s">
        <v>64</v>
      </c>
      <c r="AE16" s="10"/>
      <c r="AF16" s="9" t="s">
        <v>65</v>
      </c>
      <c r="AG16" s="9"/>
      <c r="AH16" s="9"/>
    </row>
    <row r="17" spans="1:34" ht="14.25" customHeight="1" x14ac:dyDescent="0.35">
      <c r="A17" s="13" t="s">
        <v>82</v>
      </c>
      <c r="B17" s="9" t="s">
        <v>83</v>
      </c>
      <c r="C17" s="20">
        <v>46001</v>
      </c>
      <c r="D17" s="9" t="s">
        <v>49</v>
      </c>
      <c r="E17" s="21"/>
      <c r="F17" s="21"/>
      <c r="G17" s="9" t="s">
        <v>50</v>
      </c>
      <c r="H17" s="9" t="s">
        <v>51</v>
      </c>
      <c r="I17" s="14" t="s">
        <v>52</v>
      </c>
      <c r="J17" s="14" t="s">
        <v>53</v>
      </c>
      <c r="K17" s="17">
        <v>333000</v>
      </c>
      <c r="L17" s="17"/>
      <c r="M17" s="16">
        <f t="shared" si="1"/>
        <v>333000</v>
      </c>
      <c r="N17" s="16"/>
      <c r="O17" s="16" t="s">
        <v>54</v>
      </c>
      <c r="P17" s="16" t="s">
        <v>55</v>
      </c>
      <c r="Q17" s="16" t="s">
        <v>56</v>
      </c>
      <c r="R17" s="16" t="s">
        <v>57</v>
      </c>
      <c r="S17" s="16" t="s">
        <v>58</v>
      </c>
      <c r="T17" s="16" t="s">
        <v>58</v>
      </c>
      <c r="U17" s="16" t="s">
        <v>59</v>
      </c>
      <c r="V17" s="14" t="s">
        <v>60</v>
      </c>
      <c r="W17" s="15"/>
      <c r="X17" s="14" t="s">
        <v>61</v>
      </c>
      <c r="Y17" s="16" t="s">
        <v>59</v>
      </c>
      <c r="Z17" s="14" t="s">
        <v>62</v>
      </c>
      <c r="AA17" s="15"/>
      <c r="AB17" s="14" t="s">
        <v>63</v>
      </c>
      <c r="AC17" s="16" t="s">
        <v>59</v>
      </c>
      <c r="AD17" s="14" t="s">
        <v>64</v>
      </c>
      <c r="AE17" s="15"/>
      <c r="AF17" s="14" t="s">
        <v>65</v>
      </c>
      <c r="AG17" s="19"/>
      <c r="AH17" s="19"/>
    </row>
    <row r="18" spans="1:34" ht="14.25" customHeight="1" x14ac:dyDescent="0.35">
      <c r="A18" s="8" t="s">
        <v>84</v>
      </c>
      <c r="B18" s="14" t="s">
        <v>85</v>
      </c>
      <c r="C18" s="20">
        <v>46001</v>
      </c>
      <c r="D18" s="14" t="s">
        <v>68</v>
      </c>
      <c r="E18" s="11"/>
      <c r="F18" s="11" t="s">
        <v>4</v>
      </c>
      <c r="G18" s="9" t="s">
        <v>50</v>
      </c>
      <c r="H18" s="9" t="s">
        <v>51</v>
      </c>
      <c r="I18" s="14" t="s">
        <v>69</v>
      </c>
      <c r="J18" s="9" t="s">
        <v>53</v>
      </c>
      <c r="K18" s="12">
        <v>333000</v>
      </c>
      <c r="L18" s="12"/>
      <c r="M18" s="11">
        <f t="shared" si="1"/>
        <v>333000</v>
      </c>
      <c r="N18" s="11"/>
      <c r="O18" s="11" t="s">
        <v>54</v>
      </c>
      <c r="P18" s="11" t="s">
        <v>55</v>
      </c>
      <c r="Q18" s="11" t="s">
        <v>56</v>
      </c>
      <c r="R18" s="11" t="s">
        <v>57</v>
      </c>
      <c r="S18" s="11" t="s">
        <v>58</v>
      </c>
      <c r="T18" s="11" t="s">
        <v>58</v>
      </c>
      <c r="U18" s="11" t="s">
        <v>59</v>
      </c>
      <c r="V18" s="9" t="s">
        <v>60</v>
      </c>
      <c r="W18" s="10"/>
      <c r="X18" s="9" t="s">
        <v>61</v>
      </c>
      <c r="Y18" s="11" t="s">
        <v>59</v>
      </c>
      <c r="Z18" s="9" t="s">
        <v>62</v>
      </c>
      <c r="AA18" s="10"/>
      <c r="AB18" s="9" t="s">
        <v>63</v>
      </c>
      <c r="AC18" s="11" t="s">
        <v>59</v>
      </c>
      <c r="AD18" s="9" t="s">
        <v>64</v>
      </c>
      <c r="AE18" s="10"/>
      <c r="AF18" s="9" t="s">
        <v>65</v>
      </c>
      <c r="AG18" s="9"/>
      <c r="AH18" s="9"/>
    </row>
    <row r="19" spans="1:34" ht="14.25" customHeight="1" x14ac:dyDescent="0.35">
      <c r="A19" s="13" t="s">
        <v>86</v>
      </c>
      <c r="B19" s="9" t="s">
        <v>87</v>
      </c>
      <c r="C19" s="20">
        <v>46001</v>
      </c>
      <c r="D19" s="9" t="s">
        <v>72</v>
      </c>
      <c r="E19" s="16"/>
      <c r="F19" s="16" t="s">
        <v>4</v>
      </c>
      <c r="G19" s="9" t="s">
        <v>50</v>
      </c>
      <c r="H19" s="9" t="s">
        <v>51</v>
      </c>
      <c r="I19" s="14" t="s">
        <v>73</v>
      </c>
      <c r="J19" s="14" t="s">
        <v>53</v>
      </c>
      <c r="K19" s="17">
        <v>333000</v>
      </c>
      <c r="L19" s="17"/>
      <c r="M19" s="16">
        <f t="shared" si="1"/>
        <v>333000</v>
      </c>
      <c r="N19" s="16"/>
      <c r="O19" s="16" t="s">
        <v>54</v>
      </c>
      <c r="P19" s="16" t="s">
        <v>55</v>
      </c>
      <c r="Q19" s="16" t="s">
        <v>56</v>
      </c>
      <c r="R19" s="16" t="s">
        <v>57</v>
      </c>
      <c r="S19" s="16" t="s">
        <v>58</v>
      </c>
      <c r="T19" s="16" t="s">
        <v>58</v>
      </c>
      <c r="U19" s="16" t="s">
        <v>59</v>
      </c>
      <c r="V19" s="14" t="s">
        <v>60</v>
      </c>
      <c r="W19" s="15"/>
      <c r="X19" s="14" t="s">
        <v>61</v>
      </c>
      <c r="Y19" s="16" t="s">
        <v>59</v>
      </c>
      <c r="Z19" s="14" t="s">
        <v>62</v>
      </c>
      <c r="AA19" s="15"/>
      <c r="AB19" s="14" t="s">
        <v>63</v>
      </c>
      <c r="AC19" s="16" t="s">
        <v>59</v>
      </c>
      <c r="AD19" s="14" t="s">
        <v>64</v>
      </c>
      <c r="AE19" s="15"/>
      <c r="AF19" s="14" t="s">
        <v>65</v>
      </c>
      <c r="AG19" s="14"/>
      <c r="AH19" s="14"/>
    </row>
    <row r="20" spans="1:34" ht="14.25" customHeight="1" x14ac:dyDescent="0.35">
      <c r="A20" s="8" t="s">
        <v>88</v>
      </c>
      <c r="B20" s="9" t="s">
        <v>89</v>
      </c>
      <c r="C20" s="10">
        <v>46136</v>
      </c>
      <c r="D20" s="9"/>
      <c r="E20" s="11"/>
      <c r="F20" s="11" t="s">
        <v>4</v>
      </c>
      <c r="G20" s="9" t="s">
        <v>50</v>
      </c>
      <c r="H20" s="9" t="s">
        <v>51</v>
      </c>
      <c r="I20" s="9" t="s">
        <v>90</v>
      </c>
      <c r="J20" s="9" t="s">
        <v>53</v>
      </c>
      <c r="K20" s="12">
        <v>333000</v>
      </c>
      <c r="L20" s="12"/>
      <c r="M20" s="11">
        <f t="shared" ref="M20:M31" si="2">IF(ISBLANK(K20),L20*0.404686,K20)</f>
        <v>333000</v>
      </c>
      <c r="N20" s="11"/>
      <c r="O20" s="11" t="s">
        <v>54</v>
      </c>
      <c r="P20" s="11" t="s">
        <v>55</v>
      </c>
      <c r="Q20" s="11" t="s">
        <v>56</v>
      </c>
      <c r="R20" s="11" t="s">
        <v>57</v>
      </c>
      <c r="S20" s="11" t="s">
        <v>58</v>
      </c>
      <c r="T20" s="11" t="s">
        <v>58</v>
      </c>
      <c r="U20" s="11" t="s">
        <v>59</v>
      </c>
      <c r="V20" s="9" t="s">
        <v>60</v>
      </c>
      <c r="W20" s="10"/>
      <c r="X20" s="9" t="s">
        <v>61</v>
      </c>
      <c r="Y20" s="11" t="s">
        <v>59</v>
      </c>
      <c r="Z20" s="9" t="s">
        <v>62</v>
      </c>
      <c r="AA20" s="10"/>
      <c r="AB20" s="9" t="s">
        <v>63</v>
      </c>
      <c r="AC20" s="11"/>
      <c r="AD20" s="9"/>
      <c r="AE20" s="10"/>
      <c r="AF20" s="9"/>
      <c r="AG20" s="9"/>
      <c r="AH20" s="9"/>
    </row>
    <row r="21" spans="1:34" ht="14.25" customHeight="1" x14ac:dyDescent="0.35">
      <c r="A21" s="18" t="s">
        <v>91</v>
      </c>
      <c r="B21" s="19" t="s">
        <v>92</v>
      </c>
      <c r="C21" s="20">
        <v>46136</v>
      </c>
      <c r="D21" s="19"/>
      <c r="E21" s="21"/>
      <c r="F21" s="21" t="s">
        <v>4</v>
      </c>
      <c r="G21" s="19" t="s">
        <v>50</v>
      </c>
      <c r="H21" s="19" t="s">
        <v>51</v>
      </c>
      <c r="I21" s="19" t="s">
        <v>93</v>
      </c>
      <c r="J21" s="14" t="s">
        <v>53</v>
      </c>
      <c r="K21" s="17">
        <v>333000</v>
      </c>
      <c r="L21" s="22"/>
      <c r="M21" s="21">
        <f t="shared" si="2"/>
        <v>333000</v>
      </c>
      <c r="N21" s="21"/>
      <c r="O21" s="16" t="s">
        <v>54</v>
      </c>
      <c r="P21" s="16" t="s">
        <v>55</v>
      </c>
      <c r="Q21" s="16" t="s">
        <v>56</v>
      </c>
      <c r="R21" s="16" t="s">
        <v>57</v>
      </c>
      <c r="S21" s="16" t="s">
        <v>58</v>
      </c>
      <c r="T21" s="16" t="s">
        <v>58</v>
      </c>
      <c r="U21" s="16" t="s">
        <v>59</v>
      </c>
      <c r="V21" s="14" t="s">
        <v>60</v>
      </c>
      <c r="W21" s="15"/>
      <c r="X21" s="14" t="s">
        <v>61</v>
      </c>
      <c r="Y21" s="16" t="s">
        <v>59</v>
      </c>
      <c r="Z21" s="14" t="s">
        <v>62</v>
      </c>
      <c r="AA21" s="15"/>
      <c r="AB21" s="14" t="s">
        <v>63</v>
      </c>
      <c r="AC21" s="21"/>
      <c r="AD21" s="19"/>
      <c r="AE21" s="20"/>
      <c r="AF21" s="19"/>
      <c r="AG21" s="19"/>
      <c r="AH21" s="19"/>
    </row>
    <row r="22" spans="1:34" ht="14.25" customHeight="1" x14ac:dyDescent="0.35">
      <c r="A22" s="8" t="s">
        <v>94</v>
      </c>
      <c r="B22" s="9" t="s">
        <v>95</v>
      </c>
      <c r="C22" s="10">
        <v>46136</v>
      </c>
      <c r="D22" s="9"/>
      <c r="E22" s="11"/>
      <c r="F22" s="11" t="s">
        <v>4</v>
      </c>
      <c r="G22" s="9" t="s">
        <v>50</v>
      </c>
      <c r="H22" s="9" t="s">
        <v>51</v>
      </c>
      <c r="I22" s="9" t="s">
        <v>96</v>
      </c>
      <c r="J22" s="9" t="s">
        <v>53</v>
      </c>
      <c r="K22" s="12">
        <v>333000</v>
      </c>
      <c r="L22" s="12"/>
      <c r="M22" s="11">
        <f t="shared" si="2"/>
        <v>333000</v>
      </c>
      <c r="N22" s="11"/>
      <c r="O22" s="11" t="s">
        <v>54</v>
      </c>
      <c r="P22" s="11" t="s">
        <v>55</v>
      </c>
      <c r="Q22" s="11" t="s">
        <v>56</v>
      </c>
      <c r="R22" s="11" t="s">
        <v>57</v>
      </c>
      <c r="S22" s="11" t="s">
        <v>58</v>
      </c>
      <c r="T22" s="11" t="s">
        <v>58</v>
      </c>
      <c r="U22" s="11" t="s">
        <v>59</v>
      </c>
      <c r="V22" s="9" t="s">
        <v>60</v>
      </c>
      <c r="W22" s="10"/>
      <c r="X22" s="9" t="s">
        <v>61</v>
      </c>
      <c r="Y22" s="11" t="s">
        <v>59</v>
      </c>
      <c r="Z22" s="9" t="s">
        <v>62</v>
      </c>
      <c r="AA22" s="10"/>
      <c r="AB22" s="9" t="s">
        <v>63</v>
      </c>
      <c r="AC22" s="11"/>
      <c r="AD22" s="9"/>
      <c r="AE22" s="10"/>
      <c r="AF22" s="9"/>
      <c r="AG22" s="9"/>
      <c r="AH22" s="9"/>
    </row>
    <row r="23" spans="1:34" ht="14.25" customHeight="1" x14ac:dyDescent="0.35">
      <c r="A23" s="13" t="s">
        <v>97</v>
      </c>
      <c r="B23" s="14" t="s">
        <v>98</v>
      </c>
      <c r="C23" s="15">
        <v>46136</v>
      </c>
      <c r="D23" s="14"/>
      <c r="E23" s="16"/>
      <c r="F23" s="16" t="s">
        <v>4</v>
      </c>
      <c r="G23" s="14" t="s">
        <v>50</v>
      </c>
      <c r="H23" s="14" t="s">
        <v>51</v>
      </c>
      <c r="I23" s="14" t="s">
        <v>99</v>
      </c>
      <c r="J23" s="14" t="s">
        <v>53</v>
      </c>
      <c r="K23" s="17">
        <v>333000</v>
      </c>
      <c r="L23" s="17"/>
      <c r="M23" s="16">
        <f t="shared" si="2"/>
        <v>333000</v>
      </c>
      <c r="N23" s="16"/>
      <c r="O23" s="16" t="s">
        <v>54</v>
      </c>
      <c r="P23" s="16" t="s">
        <v>55</v>
      </c>
      <c r="Q23" s="16" t="s">
        <v>56</v>
      </c>
      <c r="R23" s="16" t="s">
        <v>57</v>
      </c>
      <c r="S23" s="16" t="s">
        <v>58</v>
      </c>
      <c r="T23" s="16" t="s">
        <v>58</v>
      </c>
      <c r="U23" s="16" t="s">
        <v>59</v>
      </c>
      <c r="V23" s="14" t="s">
        <v>60</v>
      </c>
      <c r="W23" s="15"/>
      <c r="X23" s="14" t="s">
        <v>61</v>
      </c>
      <c r="Y23" s="16" t="s">
        <v>59</v>
      </c>
      <c r="Z23" s="14" t="s">
        <v>62</v>
      </c>
      <c r="AA23" s="15"/>
      <c r="AB23" s="14" t="s">
        <v>63</v>
      </c>
      <c r="AC23" s="16"/>
      <c r="AD23" s="14"/>
      <c r="AE23" s="15"/>
      <c r="AF23" s="14"/>
      <c r="AG23" s="14"/>
      <c r="AH23" s="14"/>
    </row>
    <row r="24" spans="1:34" ht="14.25" customHeight="1" x14ac:dyDescent="0.35">
      <c r="A24" s="8" t="s">
        <v>100</v>
      </c>
      <c r="B24" s="9" t="s">
        <v>101</v>
      </c>
      <c r="C24" s="10">
        <v>46136</v>
      </c>
      <c r="D24" s="9"/>
      <c r="E24" s="11"/>
      <c r="F24" s="11" t="s">
        <v>4</v>
      </c>
      <c r="G24" s="9" t="s">
        <v>50</v>
      </c>
      <c r="H24" s="9" t="s">
        <v>51</v>
      </c>
      <c r="I24" s="9" t="s">
        <v>102</v>
      </c>
      <c r="J24" s="9" t="s">
        <v>53</v>
      </c>
      <c r="K24" s="12">
        <v>333000</v>
      </c>
      <c r="L24" s="12"/>
      <c r="M24" s="11">
        <f t="shared" si="2"/>
        <v>333000</v>
      </c>
      <c r="N24" s="11"/>
      <c r="O24" s="11" t="s">
        <v>54</v>
      </c>
      <c r="P24" s="11" t="s">
        <v>55</v>
      </c>
      <c r="Q24" s="11" t="s">
        <v>56</v>
      </c>
      <c r="R24" s="11" t="s">
        <v>57</v>
      </c>
      <c r="S24" s="11" t="s">
        <v>58</v>
      </c>
      <c r="T24" s="11" t="s">
        <v>58</v>
      </c>
      <c r="U24" s="11" t="s">
        <v>59</v>
      </c>
      <c r="V24" s="9" t="s">
        <v>60</v>
      </c>
      <c r="W24" s="10"/>
      <c r="X24" s="9" t="s">
        <v>61</v>
      </c>
      <c r="Y24" s="11" t="s">
        <v>59</v>
      </c>
      <c r="Z24" s="9" t="s">
        <v>62</v>
      </c>
      <c r="AA24" s="10"/>
      <c r="AB24" s="9" t="s">
        <v>63</v>
      </c>
      <c r="AC24" s="11"/>
      <c r="AD24" s="9"/>
      <c r="AE24" s="10"/>
      <c r="AF24" s="9"/>
      <c r="AG24" s="9"/>
      <c r="AH24" s="9"/>
    </row>
    <row r="25" spans="1:34" ht="14.25" customHeight="1" x14ac:dyDescent="0.35">
      <c r="A25" s="28" t="s">
        <v>103</v>
      </c>
      <c r="B25" s="26" t="s">
        <v>104</v>
      </c>
      <c r="C25" s="27">
        <v>46136</v>
      </c>
      <c r="D25" s="14"/>
      <c r="E25" s="16"/>
      <c r="F25" s="16" t="s">
        <v>4</v>
      </c>
      <c r="G25" s="14" t="s">
        <v>50</v>
      </c>
      <c r="H25" s="14" t="s">
        <v>51</v>
      </c>
      <c r="I25" s="14" t="s">
        <v>105</v>
      </c>
      <c r="J25" s="14" t="s">
        <v>53</v>
      </c>
      <c r="K25" s="17">
        <v>333000</v>
      </c>
      <c r="L25" s="17"/>
      <c r="M25" s="16">
        <f t="shared" si="2"/>
        <v>333000</v>
      </c>
      <c r="N25" s="16"/>
      <c r="O25" s="16" t="s">
        <v>54</v>
      </c>
      <c r="P25" s="16" t="s">
        <v>55</v>
      </c>
      <c r="Q25" s="16" t="s">
        <v>56</v>
      </c>
      <c r="R25" s="16" t="s">
        <v>57</v>
      </c>
      <c r="S25" s="16" t="s">
        <v>58</v>
      </c>
      <c r="T25" s="16" t="s">
        <v>58</v>
      </c>
      <c r="U25" s="16" t="s">
        <v>59</v>
      </c>
      <c r="V25" s="14" t="s">
        <v>60</v>
      </c>
      <c r="W25" s="15"/>
      <c r="X25" s="14" t="s">
        <v>61</v>
      </c>
      <c r="Y25" s="16" t="s">
        <v>59</v>
      </c>
      <c r="Z25" s="14" t="s">
        <v>62</v>
      </c>
      <c r="AA25" s="15"/>
      <c r="AB25" s="14" t="s">
        <v>63</v>
      </c>
      <c r="AC25" s="16"/>
      <c r="AD25" s="14"/>
      <c r="AE25" s="15"/>
      <c r="AF25" s="14"/>
      <c r="AG25" s="14"/>
      <c r="AH25" s="14"/>
    </row>
    <row r="26" spans="1:34" ht="14.25" customHeight="1" x14ac:dyDescent="0.35">
      <c r="A26" s="8"/>
      <c r="B26" s="9"/>
      <c r="C26" s="10"/>
      <c r="D26" s="9"/>
      <c r="E26" s="11"/>
      <c r="F26" s="11" t="s">
        <v>4</v>
      </c>
      <c r="G26" s="9"/>
      <c r="H26" s="9"/>
      <c r="I26" s="9"/>
      <c r="J26" s="9"/>
      <c r="K26" s="12"/>
      <c r="L26" s="12"/>
      <c r="M26" s="11">
        <f t="shared" si="2"/>
        <v>0</v>
      </c>
      <c r="N26" s="11"/>
      <c r="O26" s="11"/>
      <c r="P26" s="11"/>
      <c r="Q26" s="11"/>
      <c r="R26" s="11"/>
      <c r="S26" s="11"/>
      <c r="T26" s="11"/>
      <c r="U26" s="11"/>
      <c r="V26" s="9"/>
      <c r="W26" s="10"/>
      <c r="X26" s="9"/>
      <c r="Y26" s="11"/>
      <c r="Z26" s="9"/>
      <c r="AA26" s="10"/>
      <c r="AB26" s="9"/>
      <c r="AC26" s="11"/>
      <c r="AD26" s="9"/>
      <c r="AE26" s="10"/>
      <c r="AF26" s="9"/>
      <c r="AG26" s="9"/>
      <c r="AH26" s="9"/>
    </row>
    <row r="27" spans="1:34" ht="14.25" customHeight="1" x14ac:dyDescent="0.35">
      <c r="A27" s="13"/>
      <c r="B27" s="14"/>
      <c r="C27" s="15"/>
      <c r="D27" s="14"/>
      <c r="E27" s="16"/>
      <c r="F27" s="16" t="s">
        <v>4</v>
      </c>
      <c r="G27" s="14"/>
      <c r="H27" s="14"/>
      <c r="I27" s="14"/>
      <c r="J27" s="14"/>
      <c r="K27" s="17"/>
      <c r="L27" s="17"/>
      <c r="M27" s="16">
        <f t="shared" si="2"/>
        <v>0</v>
      </c>
      <c r="N27" s="16"/>
      <c r="O27" s="16"/>
      <c r="P27" s="16"/>
      <c r="Q27" s="16"/>
      <c r="R27" s="16"/>
      <c r="S27" s="16"/>
      <c r="T27" s="16"/>
      <c r="U27" s="16"/>
      <c r="V27" s="14"/>
      <c r="W27" s="15"/>
      <c r="X27" s="14"/>
      <c r="Y27" s="16"/>
      <c r="Z27" s="14"/>
      <c r="AA27" s="15"/>
      <c r="AB27" s="14"/>
      <c r="AC27" s="16"/>
      <c r="AD27" s="14"/>
      <c r="AE27" s="15"/>
      <c r="AF27" s="14"/>
      <c r="AG27" s="14"/>
      <c r="AH27" s="14"/>
    </row>
    <row r="28" spans="1:34" ht="14.25" customHeight="1" x14ac:dyDescent="0.35">
      <c r="A28" s="8"/>
      <c r="B28" s="9"/>
      <c r="C28" s="10"/>
      <c r="D28" s="9"/>
      <c r="E28" s="11"/>
      <c r="F28" s="11" t="s">
        <v>4</v>
      </c>
      <c r="G28" s="9"/>
      <c r="H28" s="9"/>
      <c r="I28" s="9"/>
      <c r="J28" s="9"/>
      <c r="K28" s="12"/>
      <c r="L28" s="12"/>
      <c r="M28" s="11">
        <f t="shared" si="2"/>
        <v>0</v>
      </c>
      <c r="N28" s="11"/>
      <c r="O28" s="11"/>
      <c r="P28" s="11"/>
      <c r="Q28" s="11"/>
      <c r="R28" s="11"/>
      <c r="S28" s="11"/>
      <c r="T28" s="11"/>
      <c r="U28" s="11"/>
      <c r="V28" s="9"/>
      <c r="W28" s="10"/>
      <c r="X28" s="9"/>
      <c r="Y28" s="11"/>
      <c r="Z28" s="9"/>
      <c r="AA28" s="10"/>
      <c r="AB28" s="9"/>
      <c r="AC28" s="11"/>
      <c r="AD28" s="9"/>
      <c r="AE28" s="10"/>
      <c r="AF28" s="9"/>
      <c r="AG28" s="9"/>
      <c r="AH28" s="9"/>
    </row>
    <row r="29" spans="1:34" ht="14.25" customHeight="1" x14ac:dyDescent="0.35">
      <c r="A29" s="13"/>
      <c r="B29" s="14"/>
      <c r="C29" s="15"/>
      <c r="D29" s="14"/>
      <c r="E29" s="16"/>
      <c r="F29" s="16" t="s">
        <v>4</v>
      </c>
      <c r="G29" s="14"/>
      <c r="H29" s="14"/>
      <c r="I29" s="14"/>
      <c r="J29" s="14"/>
      <c r="K29" s="17"/>
      <c r="L29" s="17"/>
      <c r="M29" s="16">
        <f t="shared" si="2"/>
        <v>0</v>
      </c>
      <c r="N29" s="16"/>
      <c r="O29" s="16"/>
      <c r="P29" s="16"/>
      <c r="Q29" s="16"/>
      <c r="R29" s="16"/>
      <c r="S29" s="16"/>
      <c r="T29" s="16"/>
      <c r="U29" s="16"/>
      <c r="V29" s="14"/>
      <c r="W29" s="15"/>
      <c r="X29" s="14"/>
      <c r="Y29" s="16"/>
      <c r="Z29" s="14"/>
      <c r="AA29" s="15"/>
      <c r="AB29" s="14"/>
      <c r="AC29" s="16"/>
      <c r="AD29" s="14"/>
      <c r="AE29" s="15"/>
      <c r="AF29" s="14"/>
      <c r="AG29" s="14"/>
      <c r="AH29" s="14"/>
    </row>
    <row r="30" spans="1:34" ht="14.25" customHeight="1" x14ac:dyDescent="0.35">
      <c r="A30" s="8"/>
      <c r="B30" s="9"/>
      <c r="C30" s="10"/>
      <c r="D30" s="9"/>
      <c r="E30" s="11"/>
      <c r="F30" s="11" t="s">
        <v>4</v>
      </c>
      <c r="G30" s="9"/>
      <c r="H30" s="9"/>
      <c r="I30" s="9"/>
      <c r="J30" s="9"/>
      <c r="K30" s="12"/>
      <c r="L30" s="12"/>
      <c r="M30" s="11">
        <f t="shared" si="2"/>
        <v>0</v>
      </c>
      <c r="N30" s="11"/>
      <c r="O30" s="11"/>
      <c r="P30" s="11"/>
      <c r="Q30" s="11"/>
      <c r="R30" s="11"/>
      <c r="S30" s="11"/>
      <c r="T30" s="11"/>
      <c r="U30" s="11"/>
      <c r="V30" s="9"/>
      <c r="W30" s="10"/>
      <c r="X30" s="9"/>
      <c r="Y30" s="11"/>
      <c r="Z30" s="9"/>
      <c r="AA30" s="10"/>
      <c r="AB30" s="9"/>
      <c r="AC30" s="11"/>
      <c r="AD30" s="9"/>
      <c r="AE30" s="10"/>
      <c r="AF30" s="9"/>
      <c r="AG30" s="9"/>
      <c r="AH30" s="9"/>
    </row>
    <row r="31" spans="1:34" ht="14.25" customHeight="1" x14ac:dyDescent="0.35">
      <c r="A31" s="18"/>
      <c r="B31" s="19"/>
      <c r="C31" s="20"/>
      <c r="D31" s="19"/>
      <c r="E31" s="21"/>
      <c r="F31" s="21" t="s">
        <v>4</v>
      </c>
      <c r="G31" s="19"/>
      <c r="H31" s="19"/>
      <c r="I31" s="19"/>
      <c r="J31" s="19"/>
      <c r="K31" s="22"/>
      <c r="L31" s="22"/>
      <c r="M31" s="21">
        <f t="shared" si="2"/>
        <v>0</v>
      </c>
      <c r="N31" s="21"/>
      <c r="O31" s="21"/>
      <c r="P31" s="21"/>
      <c r="Q31" s="21"/>
      <c r="R31" s="21"/>
      <c r="S31" s="21"/>
      <c r="T31" s="21"/>
      <c r="U31" s="21"/>
      <c r="V31" s="19"/>
      <c r="W31" s="20"/>
      <c r="X31" s="19"/>
      <c r="Y31" s="21"/>
      <c r="Z31" s="19"/>
      <c r="AA31" s="20"/>
      <c r="AB31" s="19"/>
      <c r="AC31" s="21"/>
      <c r="AD31" s="19"/>
      <c r="AE31" s="20"/>
      <c r="AF31" s="19"/>
      <c r="AG31" s="19"/>
      <c r="AH31" s="19"/>
    </row>
    <row r="32" spans="1:3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5">
    <mergeCell ref="A8:D8"/>
    <mergeCell ref="A9:F10"/>
    <mergeCell ref="A1:D1"/>
    <mergeCell ref="A2:B2"/>
    <mergeCell ref="A3:B3"/>
    <mergeCell ref="A4:A5"/>
    <mergeCell ref="A6:B6"/>
    <mergeCell ref="G9:I9"/>
    <mergeCell ref="J9:T10"/>
    <mergeCell ref="U9:AF9"/>
    <mergeCell ref="AG9:AH10"/>
    <mergeCell ref="G10:H10"/>
    <mergeCell ref="U10:X10"/>
    <mergeCell ref="Y10:AB10"/>
    <mergeCell ref="AC10:AF10"/>
  </mergeCells>
  <dataValidations count="18">
    <dataValidation type="custom" allowBlank="1" showDropDown="1" showInputMessage="1" showErrorMessage="1" prompt="Email - Introduce un valor (longitud máxima 100 caracteres)" sqref="C5" xr:uid="{00000000-0002-0000-0000-000000000000}">
      <formula1>LT(LEN(C5),(100))</formula1>
    </dataValidation>
    <dataValidation type="custom" allowBlank="1" showDropDown="1" showInputMessage="1" showErrorMessage="1" prompt="Nombre de parcela - Introduce un valor (longitud máxima 100 caracteres)" sqref="D12:D31" xr:uid="{00000000-0002-0000-0000-000001000000}">
      <formula1>LT(LEN(D12),(100))</formula1>
    </dataValidation>
    <dataValidation type="custom" allowBlank="1" showDropDown="1" showInputMessage="1" showErrorMessage="1" prompt="País * - Introduce un valor (longitud máxima 100 caracteres)" sqref="H12:H31" xr:uid="{00000000-0002-0000-0000-000004000000}">
      <formula1>LT(LEN(H12),(100))</formula1>
    </dataValidation>
    <dataValidation type="custom" allowBlank="1" showDropDown="1" showInputMessage="1" showErrorMessage="1" prompt="Ciudad * - Introduce un valor (longitud máxima 100 caracteres)" sqref="G12:G31" xr:uid="{00000000-0002-0000-0000-000005000000}">
      <formula1>LT(LEN(G12),(100))</formula1>
    </dataValidation>
    <dataValidation type="custom" allowBlank="1" showDropDown="1" showInputMessage="1" showErrorMessage="1" prompt="Comentarios - Introduce un valor (longitud máxima 200 caracteres)" sqref="AG12:AG31" xr:uid="{00000000-0002-0000-0000-000006000000}">
      <formula1>LT(LEN(AG12),(200))</formula1>
    </dataValidation>
    <dataValidation type="decimal" operator="greaterThanOrEqual" allowBlank="1" showDropDown="1" showInputMessage="1" showErrorMessage="1" prompt="Densidad (plantas/hectarea) - Inserta un número real, valor mínimo 0" sqref="K12:K31" xr:uid="{00000000-0002-0000-0000-000007000000}">
      <formula1>0</formula1>
    </dataValidation>
    <dataValidation type="custom" allowBlank="1" showDropDown="1" showInputMessage="1" showErrorMessage="1" prompt="Cultivador - Introduce un valor (longitud máxima 200 caracteres)" sqref="AH12:AH31" xr:uid="{00000000-0002-0000-0000-000009000000}">
      <formula1>LT(LEN(AH12),(200))</formula1>
    </dataValidation>
    <dataValidation type="custom" allowBlank="1" showDropDown="1" showInputMessage="1" showErrorMessage="1" prompt="Variedad - Introduce un valor (longitud máxima 100 caracteres)" sqref="J12:J31" xr:uid="{00000000-0002-0000-0000-00000A000000}">
      <formula1>LT(LEN(J12),(100))</formula1>
    </dataValidation>
    <dataValidation type="decimal" allowBlank="1" showDropDown="1" showInputMessage="1" showErrorMessage="1" prompt="Año plantación - Inserta un número entero, valor mínimo 0, valor máximo 2025" sqref="N12:N31" xr:uid="{00000000-0002-0000-0000-00000D000000}">
      <formula1>0</formula1>
      <formula2>2025</formula2>
    </dataValidation>
    <dataValidation type="date" operator="greaterThan" allowBlank="1" showDropDown="1" showInputMessage="1" showErrorMessage="1" prompt="Fecha de recolección * - Introduce una fecha" sqref="C12:C24 C26:C31" xr:uid="{00000000-0002-0000-0000-00000E000000}">
      <formula1>1</formula1>
    </dataValidation>
    <dataValidation type="custom" allowBlank="1" showDropDown="1" showInputMessage="1" showErrorMessage="1" prompt="Nombre de muestra * - Introduce un valor (longitud máxima 200 caracteres)" sqref="B12:B24 B26:B31" xr:uid="{00000000-0002-0000-0000-000010000000}">
      <formula1>LT(LEN(B12),(200))</formula1>
    </dataValidation>
    <dataValidation type="decimal" operator="greaterThanOrEqual" allowBlank="1" showDropDown="1" showInputMessage="1" showErrorMessage="1" prompt="Densidad (plantas/acre) - Inserta un número real, valor mínimo 0" sqref="L12:L31" xr:uid="{00000000-0002-0000-0000-000011000000}">
      <formula1>0</formula1>
    </dataValidation>
    <dataValidation type="custom" allowBlank="1" showDropDown="1" showInputMessage="1" showErrorMessage="1" prompt="Nombre - Introduce un valor (longitud máxima 100 caracteres)" sqref="C4 AD12:AD31 Z12:Z31 V12:V31" xr:uid="{00000000-0002-0000-0000-000013000000}">
      <formula1>LT(LEN(C4),(100))</formula1>
    </dataValidation>
    <dataValidation type="custom" allowBlank="1" showDropDown="1" showInputMessage="1" showErrorMessage="1" prompt="Dosis - Introduce un valor (longitud máxima 100 caracteres)" sqref="AF12:AF31 AB12:AB31 X12:X31" xr:uid="{00000000-0002-0000-0000-000016000000}">
      <formula1>LT(LEN(X12),(100))</formula1>
    </dataValidation>
    <dataValidation type="date" operator="greaterThan" allowBlank="1" showDropDown="1" showInputMessage="1" showErrorMessage="1" prompt="Fecha de aplicación - Introduce una fecha" sqref="AE12:AE31 AA12:AA31 W12:W31" xr:uid="{00000000-0002-0000-0000-000017000000}">
      <formula1>1</formula1>
    </dataValidation>
    <dataValidation type="custom" allowBlank="1" showDropDown="1" showInputMessage="1" showErrorMessage="1" prompt="Código * - Código de 6 caracteres del tubo" sqref="A12:A31" xr:uid="{00000000-0002-0000-0000-000018000000}">
      <formula1>EQ(LEN(A12),(6))</formula1>
    </dataValidation>
    <dataValidation type="date" operator="greaterThan" allowBlank="1" showDropDown="1" showInputMessage="1" showErrorMessage="1" errorTitle="Error de entrada" error="Fecha no válida" promptTitle="Fecha de recolección *" prompt="Introduce una fecha" sqref="C25" xr:uid="{501E365B-5B4D-44BD-A94C-E608B792AD86}">
      <formula1>1</formula1>
    </dataValidation>
    <dataValidation type="textLength" operator="lessThan" allowBlank="1" showDropDown="1" showInputMessage="1" showErrorMessage="1" errorTitle="Error de entrada" error="Valor de tener menos de 200 caracteres" promptTitle="Nombre de muestra *" prompt="Introduce un valor (longitud máxima 200 caracteres)" sqref="B25" xr:uid="{E73CD10C-CEF6-4697-8E8E-A1BC4E8D34FC}">
      <formula1>200</formula1>
    </dataValidation>
  </dataValidations>
  <hyperlinks>
    <hyperlink ref="C5" r:id="rId1" xr:uid="{99926B7B-4EE1-479D-99B4-13D153BA9FA3}"/>
  </hyperlinks>
  <pageMargins left="0.3" right="0.3" top="0.3" bottom="0.3" header="0" footer="0"/>
  <pageSetup paperSize="9" scale="75" orientation="landscape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prompt="Tipo de irrigación - Por favor, elija un valor de la lista desplegable" xr:uid="{00000000-0002-0000-0000-000002000000}">
          <x14:formula1>
            <xm:f>Options_DO_NOT_EDIT!$H$3:$H$7</xm:f>
          </x14:formula1>
          <xm:sqref>Q12:Q31</xm:sqref>
        </x14:dataValidation>
        <x14:dataValidation type="list" allowBlank="1" showInputMessage="1" prompt="Tipo de suelo - Por favor, elija un valor de la lista desplegable" xr:uid="{00000000-0002-0000-0000-000003000000}">
          <x14:formula1>
            <xm:f>Options_DO_NOT_EDIT!$N$3:$N$15</xm:f>
          </x14:formula1>
          <xm:sqref>R12:R31</xm:sqref>
        </x14:dataValidation>
        <x14:dataValidation type="list" allowBlank="1" showInputMessage="1" prompt="Métodos biodinámicos - Por favor, elija un valor de la lista desplegable" xr:uid="{00000000-0002-0000-0000-000008000000}">
          <x14:formula1>
            <xm:f>Options_DO_NOT_EDIT!$D$3:$D$4</xm:f>
          </x14:formula1>
          <xm:sqref>T12:T31</xm:sqref>
        </x14:dataValidation>
        <x14:dataValidation type="list" allowBlank="1" showInputMessage="1" prompt="Crear cuenta online - Por favor, elija un valor de la lista desplegable" xr:uid="{00000000-0002-0000-0000-00000B000000}">
          <x14:formula1>
            <xm:f>Options_DO_NOT_EDIT!$D$3:$D$4</xm:f>
          </x14:formula1>
          <xm:sqref>C6</xm:sqref>
        </x14:dataValidation>
        <x14:dataValidation type="list" allowBlank="1" showInputMessage="1" prompt="Cultivo * - Por favor, elija un valor de la lista desplegable" xr:uid="{00000000-0002-0000-0000-00000C000000}">
          <x14:formula1>
            <xm:f>Options_DO_NOT_EDIT!$L$3:$L$275</xm:f>
          </x14:formula1>
          <xm:sqref>F12:F31</xm:sqref>
        </x14:dataValidation>
        <x14:dataValidation type="list" allowBlank="1" showInputMessage="1" prompt="Uso de irrigación - Por favor, elija un valor de la lista desplegable" xr:uid="{00000000-0002-0000-0000-00000F000000}">
          <x14:formula1>
            <xm:f>Options_DO_NOT_EDIT!$F$3:$F$6</xm:f>
          </x14:formula1>
          <xm:sqref>P12:P31</xm:sqref>
        </x14:dataValidation>
        <x14:dataValidation type="list" allowBlank="1" showInputMessage="1" prompt="Cultivo del año previo - Por favor, elija un valor de la lista desplegable" xr:uid="{00000000-0002-0000-0000-000012000000}">
          <x14:formula1>
            <xm:f>Options_DO_NOT_EDIT!$L$3:$L$275</xm:f>
          </x14:formula1>
          <xm:sqref>O12:O31</xm:sqref>
        </x14:dataValidation>
        <x14:dataValidation type="list" allowBlank="1" showInputMessage="1" prompt="Subcliente * - Por favor, elija un valor de la lista desplegable" xr:uid="{00000000-0002-0000-0000-000014000000}">
          <x14:formula1>
            <xm:f>Options_DO_NOT_EDIT!$P$2:$P$3</xm:f>
          </x14:formula1>
          <xm:sqref>E12:E31</xm:sqref>
        </x14:dataValidation>
        <x14:dataValidation type="list" allowBlank="1" showInputMessage="1" prompt="Prácticas orgánicas - Por favor, elija un valor de la lista desplegable" xr:uid="{00000000-0002-0000-0000-000015000000}">
          <x14:formula1>
            <xm:f>Options_DO_NOT_EDIT!$D$3:$D$4</xm:f>
          </x14:formula1>
          <xm:sqref>S12:S31</xm:sqref>
        </x14:dataValidation>
        <x14:dataValidation type="list" allowBlank="1" showInputMessage="1" prompt="Tipo - Por favor, elija un valor de la lista desplegable" xr:uid="{00000000-0002-0000-0000-000019000000}">
          <x14:formula1>
            <xm:f>Options_DO_NOT_EDIT!$J$3:$J$10</xm:f>
          </x14:formula1>
          <xm:sqref>AC12:AC31 Y12:Y31 U12:U31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6" ht="14.25" customHeight="1" x14ac:dyDescent="0.35">
      <c r="A1" s="23" t="s">
        <v>106</v>
      </c>
    </row>
    <row r="2" spans="1:16" ht="14.25" customHeight="1" x14ac:dyDescent="0.35">
      <c r="A2" s="25" t="s">
        <v>107</v>
      </c>
      <c r="B2" s="25" t="s">
        <v>108</v>
      </c>
      <c r="C2" s="25" t="s">
        <v>109</v>
      </c>
      <c r="D2" s="25" t="s">
        <v>110</v>
      </c>
      <c r="E2" s="25" t="s">
        <v>111</v>
      </c>
      <c r="F2" s="25" t="s">
        <v>112</v>
      </c>
      <c r="G2" s="25" t="s">
        <v>113</v>
      </c>
      <c r="H2" s="25" t="s">
        <v>114</v>
      </c>
      <c r="I2" s="25" t="s">
        <v>115</v>
      </c>
      <c r="J2" s="25" t="s">
        <v>116</v>
      </c>
      <c r="K2" s="25" t="s">
        <v>117</v>
      </c>
      <c r="L2" s="25" t="s">
        <v>118</v>
      </c>
      <c r="M2" s="25" t="s">
        <v>119</v>
      </c>
      <c r="N2" s="25" t="s">
        <v>120</v>
      </c>
      <c r="O2" s="25" t="s">
        <v>121</v>
      </c>
      <c r="P2" s="25" t="s">
        <v>122</v>
      </c>
    </row>
    <row r="3" spans="1:16" ht="14.25" customHeight="1" x14ac:dyDescent="0.35">
      <c r="A3" s="25">
        <v>4</v>
      </c>
      <c r="B3" s="25" t="s">
        <v>123</v>
      </c>
      <c r="C3" s="25">
        <v>1</v>
      </c>
      <c r="D3" s="25" t="s">
        <v>11</v>
      </c>
      <c r="E3" s="25">
        <v>3</v>
      </c>
      <c r="F3" s="25" t="s">
        <v>55</v>
      </c>
      <c r="G3" s="25">
        <v>1</v>
      </c>
      <c r="H3" s="25" t="s">
        <v>56</v>
      </c>
      <c r="I3" s="25">
        <v>1</v>
      </c>
      <c r="J3" s="25" t="s">
        <v>124</v>
      </c>
      <c r="K3" s="25">
        <v>3</v>
      </c>
      <c r="L3" s="25" t="s">
        <v>125</v>
      </c>
      <c r="M3" s="25">
        <v>0</v>
      </c>
      <c r="N3" s="25" t="s">
        <v>126</v>
      </c>
    </row>
    <row r="4" spans="1:16" ht="14.25" customHeight="1" x14ac:dyDescent="0.35">
      <c r="B4" s="25" t="s">
        <v>127</v>
      </c>
      <c r="C4" s="25">
        <v>0</v>
      </c>
      <c r="D4" s="25" t="s">
        <v>58</v>
      </c>
      <c r="E4" s="25">
        <v>2</v>
      </c>
      <c r="F4" s="25" t="s">
        <v>128</v>
      </c>
      <c r="G4" s="25">
        <v>2</v>
      </c>
      <c r="H4" s="25" t="s">
        <v>129</v>
      </c>
      <c r="I4" s="25">
        <v>2</v>
      </c>
      <c r="J4" s="25" t="s">
        <v>130</v>
      </c>
      <c r="K4" s="25">
        <v>276</v>
      </c>
      <c r="L4" s="25" t="s">
        <v>131</v>
      </c>
      <c r="M4" s="25">
        <v>1</v>
      </c>
      <c r="N4" s="25" t="s">
        <v>57</v>
      </c>
    </row>
    <row r="5" spans="1:16" ht="14.25" customHeight="1" x14ac:dyDescent="0.35">
      <c r="B5" s="25" t="s">
        <v>132</v>
      </c>
      <c r="E5" s="25">
        <v>1</v>
      </c>
      <c r="F5" s="25" t="s">
        <v>133</v>
      </c>
      <c r="G5" s="25">
        <v>3</v>
      </c>
      <c r="H5" s="25" t="s">
        <v>134</v>
      </c>
      <c r="I5" s="25">
        <v>3</v>
      </c>
      <c r="J5" s="25" t="s">
        <v>135</v>
      </c>
      <c r="K5" s="25">
        <v>144</v>
      </c>
      <c r="L5" s="25" t="s">
        <v>136</v>
      </c>
      <c r="M5" s="25">
        <v>2</v>
      </c>
      <c r="N5" s="25" t="s">
        <v>137</v>
      </c>
    </row>
    <row r="6" spans="1:16" ht="14.25" customHeight="1" x14ac:dyDescent="0.35">
      <c r="B6" s="25" t="s">
        <v>138</v>
      </c>
      <c r="E6" s="25">
        <v>0</v>
      </c>
      <c r="F6" s="25" t="s">
        <v>139</v>
      </c>
      <c r="G6" s="25">
        <v>4</v>
      </c>
      <c r="H6" s="25" t="s">
        <v>140</v>
      </c>
      <c r="I6" s="25">
        <v>4</v>
      </c>
      <c r="J6" s="25" t="s">
        <v>141</v>
      </c>
      <c r="K6" s="25">
        <v>137</v>
      </c>
      <c r="L6" s="25" t="s">
        <v>142</v>
      </c>
      <c r="M6" s="25">
        <v>3</v>
      </c>
      <c r="N6" s="25" t="s">
        <v>143</v>
      </c>
    </row>
    <row r="7" spans="1:16" ht="14.25" customHeight="1" x14ac:dyDescent="0.35">
      <c r="B7" s="25" t="s">
        <v>144</v>
      </c>
      <c r="G7" s="25">
        <v>999</v>
      </c>
      <c r="H7" s="25" t="s">
        <v>145</v>
      </c>
      <c r="I7" s="25">
        <v>5</v>
      </c>
      <c r="J7" s="25" t="s">
        <v>59</v>
      </c>
      <c r="K7" s="25">
        <v>48</v>
      </c>
      <c r="L7" s="25" t="s">
        <v>146</v>
      </c>
      <c r="M7" s="25">
        <v>4</v>
      </c>
      <c r="N7" s="25" t="s">
        <v>147</v>
      </c>
    </row>
    <row r="8" spans="1:16" ht="14.25" customHeight="1" x14ac:dyDescent="0.35">
      <c r="B8" s="25" t="s">
        <v>148</v>
      </c>
      <c r="I8" s="25">
        <v>6</v>
      </c>
      <c r="J8" s="25" t="s">
        <v>149</v>
      </c>
      <c r="K8" s="25">
        <v>252</v>
      </c>
      <c r="L8" s="25" t="s">
        <v>150</v>
      </c>
      <c r="M8" s="25">
        <v>5</v>
      </c>
      <c r="N8" s="25" t="s">
        <v>151</v>
      </c>
    </row>
    <row r="9" spans="1:16" ht="14.25" customHeight="1" x14ac:dyDescent="0.35">
      <c r="B9" s="25" t="s">
        <v>152</v>
      </c>
      <c r="I9" s="25">
        <v>7</v>
      </c>
      <c r="J9" s="25" t="s">
        <v>153</v>
      </c>
      <c r="K9" s="25">
        <v>80</v>
      </c>
      <c r="L9" s="25" t="s">
        <v>150</v>
      </c>
      <c r="M9" s="25">
        <v>6</v>
      </c>
      <c r="N9" s="25" t="s">
        <v>154</v>
      </c>
    </row>
    <row r="10" spans="1:16" ht="14.25" customHeight="1" x14ac:dyDescent="0.35">
      <c r="B10" s="25" t="s">
        <v>155</v>
      </c>
      <c r="I10" s="25">
        <v>999</v>
      </c>
      <c r="J10" s="25" t="s">
        <v>156</v>
      </c>
      <c r="K10" s="25">
        <v>14</v>
      </c>
      <c r="L10" s="25" t="s">
        <v>157</v>
      </c>
      <c r="M10" s="25">
        <v>7</v>
      </c>
      <c r="N10" s="25" t="s">
        <v>158</v>
      </c>
    </row>
    <row r="11" spans="1:16" ht="14.25" customHeight="1" x14ac:dyDescent="0.35">
      <c r="B11" s="25" t="s">
        <v>159</v>
      </c>
      <c r="K11" s="25">
        <v>83</v>
      </c>
      <c r="L11" s="25" t="s">
        <v>160</v>
      </c>
      <c r="M11" s="25">
        <v>8</v>
      </c>
      <c r="N11" s="25" t="s">
        <v>161</v>
      </c>
    </row>
    <row r="12" spans="1:16" ht="14.25" customHeight="1" x14ac:dyDescent="0.35">
      <c r="B12" s="25" t="s">
        <v>162</v>
      </c>
      <c r="K12" s="25">
        <v>271</v>
      </c>
      <c r="L12" s="25" t="s">
        <v>163</v>
      </c>
      <c r="M12" s="25">
        <v>9</v>
      </c>
      <c r="N12" s="25" t="s">
        <v>164</v>
      </c>
    </row>
    <row r="13" spans="1:16" ht="14.25" customHeight="1" x14ac:dyDescent="0.35">
      <c r="B13" s="25" t="s">
        <v>165</v>
      </c>
      <c r="K13" s="25">
        <v>8</v>
      </c>
      <c r="L13" s="25" t="s">
        <v>166</v>
      </c>
      <c r="M13" s="25">
        <v>10</v>
      </c>
      <c r="N13" s="25" t="s">
        <v>167</v>
      </c>
    </row>
    <row r="14" spans="1:16" ht="14.25" customHeight="1" x14ac:dyDescent="0.35">
      <c r="B14" s="25" t="s">
        <v>168</v>
      </c>
      <c r="K14" s="25">
        <v>12</v>
      </c>
      <c r="L14" s="25" t="s">
        <v>169</v>
      </c>
      <c r="M14" s="25">
        <v>11</v>
      </c>
      <c r="N14" s="25" t="s">
        <v>170</v>
      </c>
    </row>
    <row r="15" spans="1:16" ht="14.25" customHeight="1" x14ac:dyDescent="0.35">
      <c r="B15" s="25" t="s">
        <v>171</v>
      </c>
      <c r="K15" s="25">
        <v>11</v>
      </c>
      <c r="L15" s="25" t="s">
        <v>172</v>
      </c>
      <c r="M15" s="25">
        <v>12</v>
      </c>
      <c r="N15" s="25" t="s">
        <v>173</v>
      </c>
    </row>
    <row r="16" spans="1:16" ht="14.25" customHeight="1" x14ac:dyDescent="0.35">
      <c r="B16" s="25" t="s">
        <v>174</v>
      </c>
      <c r="K16" s="25">
        <v>4</v>
      </c>
      <c r="L16" s="25" t="s">
        <v>175</v>
      </c>
    </row>
    <row r="17" spans="2:12" ht="14.25" customHeight="1" x14ac:dyDescent="0.35">
      <c r="B17" s="25" t="s">
        <v>176</v>
      </c>
      <c r="K17" s="25">
        <v>30</v>
      </c>
      <c r="L17" s="25" t="s">
        <v>177</v>
      </c>
    </row>
    <row r="18" spans="2:12" ht="14.25" customHeight="1" x14ac:dyDescent="0.35">
      <c r="B18" s="25" t="s">
        <v>178</v>
      </c>
      <c r="K18" s="25">
        <v>38</v>
      </c>
      <c r="L18" s="25" t="s">
        <v>179</v>
      </c>
    </row>
    <row r="19" spans="2:12" ht="14.25" customHeight="1" x14ac:dyDescent="0.35">
      <c r="B19" s="25" t="s">
        <v>180</v>
      </c>
      <c r="K19" s="25">
        <v>61</v>
      </c>
      <c r="L19" s="25" t="s">
        <v>181</v>
      </c>
    </row>
    <row r="20" spans="2:12" ht="14.25" customHeight="1" x14ac:dyDescent="0.35">
      <c r="B20" s="25" t="s">
        <v>182</v>
      </c>
      <c r="K20" s="25">
        <v>92</v>
      </c>
      <c r="L20" s="25" t="s">
        <v>183</v>
      </c>
    </row>
    <row r="21" spans="2:12" ht="14.25" customHeight="1" x14ac:dyDescent="0.35">
      <c r="B21" s="25" t="s">
        <v>184</v>
      </c>
      <c r="K21" s="25">
        <v>278</v>
      </c>
      <c r="L21" s="25" t="s">
        <v>185</v>
      </c>
    </row>
    <row r="22" spans="2:12" ht="14.25" customHeight="1" x14ac:dyDescent="0.35">
      <c r="B22" s="25" t="s">
        <v>186</v>
      </c>
      <c r="K22" s="25">
        <v>5</v>
      </c>
      <c r="L22" s="25" t="s">
        <v>187</v>
      </c>
    </row>
    <row r="23" spans="2:12" ht="14.25" customHeight="1" x14ac:dyDescent="0.35">
      <c r="B23" s="25" t="s">
        <v>188</v>
      </c>
      <c r="K23" s="25">
        <v>62</v>
      </c>
      <c r="L23" s="25" t="s">
        <v>189</v>
      </c>
    </row>
    <row r="24" spans="2:12" ht="14.25" customHeight="1" x14ac:dyDescent="0.35">
      <c r="B24" s="25" t="s">
        <v>190</v>
      </c>
      <c r="K24" s="25">
        <v>256</v>
      </c>
      <c r="L24" s="25" t="s">
        <v>191</v>
      </c>
    </row>
    <row r="25" spans="2:12" ht="14.25" customHeight="1" x14ac:dyDescent="0.35">
      <c r="B25" s="25" t="s">
        <v>192</v>
      </c>
      <c r="K25" s="25">
        <v>40</v>
      </c>
      <c r="L25" s="25" t="s">
        <v>193</v>
      </c>
    </row>
    <row r="26" spans="2:12" ht="14.25" customHeight="1" x14ac:dyDescent="0.35">
      <c r="B26" s="25" t="s">
        <v>194</v>
      </c>
      <c r="K26" s="25">
        <v>43</v>
      </c>
      <c r="L26" s="25" t="s">
        <v>195</v>
      </c>
    </row>
    <row r="27" spans="2:12" ht="14.25" customHeight="1" x14ac:dyDescent="0.35">
      <c r="B27" s="25" t="s">
        <v>188</v>
      </c>
      <c r="K27" s="25">
        <v>227</v>
      </c>
      <c r="L27" s="25" t="s">
        <v>196</v>
      </c>
    </row>
    <row r="28" spans="2:12" ht="14.25" customHeight="1" x14ac:dyDescent="0.35">
      <c r="B28" s="25" t="s">
        <v>190</v>
      </c>
      <c r="K28" s="25">
        <v>287</v>
      </c>
      <c r="L28" s="25" t="s">
        <v>197</v>
      </c>
    </row>
    <row r="29" spans="2:12" ht="14.25" customHeight="1" x14ac:dyDescent="0.35">
      <c r="B29" s="25" t="s">
        <v>192</v>
      </c>
      <c r="K29" s="25">
        <v>292</v>
      </c>
      <c r="L29" s="25" t="s">
        <v>198</v>
      </c>
    </row>
    <row r="30" spans="2:12" ht="14.25" customHeight="1" x14ac:dyDescent="0.35">
      <c r="B30" s="25" t="s">
        <v>194</v>
      </c>
      <c r="K30" s="25">
        <v>9</v>
      </c>
      <c r="L30" s="25" t="s">
        <v>199</v>
      </c>
    </row>
    <row r="31" spans="2:12" ht="14.25" customHeight="1" x14ac:dyDescent="0.35">
      <c r="B31" s="25" t="s">
        <v>188</v>
      </c>
      <c r="K31" s="25">
        <v>175</v>
      </c>
      <c r="L31" s="25" t="s">
        <v>4</v>
      </c>
    </row>
    <row r="32" spans="2:12" ht="14.25" customHeight="1" x14ac:dyDescent="0.35">
      <c r="B32" s="25" t="s">
        <v>190</v>
      </c>
      <c r="K32" s="25">
        <v>10</v>
      </c>
      <c r="L32" s="25" t="s">
        <v>200</v>
      </c>
    </row>
    <row r="33" spans="2:12" ht="14.25" customHeight="1" x14ac:dyDescent="0.35">
      <c r="B33" s="25" t="s">
        <v>192</v>
      </c>
      <c r="K33" s="25">
        <v>210</v>
      </c>
      <c r="L33" s="25" t="s">
        <v>201</v>
      </c>
    </row>
    <row r="34" spans="2:12" ht="14.25" customHeight="1" x14ac:dyDescent="0.35">
      <c r="B34" s="25" t="s">
        <v>194</v>
      </c>
      <c r="K34" s="25">
        <v>26</v>
      </c>
      <c r="L34" s="25" t="s">
        <v>202</v>
      </c>
    </row>
    <row r="35" spans="2:12" ht="14.25" customHeight="1" x14ac:dyDescent="0.35">
      <c r="B35" s="25" t="s">
        <v>203</v>
      </c>
      <c r="K35" s="25">
        <v>242</v>
      </c>
      <c r="L35" s="25" t="s">
        <v>204</v>
      </c>
    </row>
    <row r="36" spans="2:12" ht="14.25" customHeight="1" x14ac:dyDescent="0.35">
      <c r="B36" s="25" t="s">
        <v>205</v>
      </c>
      <c r="K36" s="25">
        <v>89</v>
      </c>
      <c r="L36" s="25" t="s">
        <v>206</v>
      </c>
    </row>
    <row r="37" spans="2:12" ht="14.25" customHeight="1" x14ac:dyDescent="0.35">
      <c r="K37" s="25">
        <v>135</v>
      </c>
      <c r="L37" s="25" t="s">
        <v>207</v>
      </c>
    </row>
    <row r="38" spans="2:12" ht="14.25" customHeight="1" x14ac:dyDescent="0.35">
      <c r="K38" s="25">
        <v>257</v>
      </c>
      <c r="L38" s="25" t="s">
        <v>208</v>
      </c>
    </row>
    <row r="39" spans="2:12" ht="14.25" customHeight="1" x14ac:dyDescent="0.35">
      <c r="K39" s="25">
        <v>282</v>
      </c>
      <c r="L39" s="25" t="s">
        <v>209</v>
      </c>
    </row>
    <row r="40" spans="2:12" ht="14.25" customHeight="1" x14ac:dyDescent="0.35">
      <c r="K40" s="25">
        <v>15</v>
      </c>
      <c r="L40" s="25" t="s">
        <v>210</v>
      </c>
    </row>
    <row r="41" spans="2:12" ht="14.25" customHeight="1" x14ac:dyDescent="0.35">
      <c r="K41" s="25">
        <v>216</v>
      </c>
      <c r="L41" s="25" t="s">
        <v>211</v>
      </c>
    </row>
    <row r="42" spans="2:12" ht="14.25" customHeight="1" x14ac:dyDescent="0.35">
      <c r="K42" s="25">
        <v>74</v>
      </c>
      <c r="L42" s="25" t="s">
        <v>212</v>
      </c>
    </row>
    <row r="43" spans="2:12" ht="14.25" customHeight="1" x14ac:dyDescent="0.35">
      <c r="K43" s="25">
        <v>21</v>
      </c>
      <c r="L43" s="25" t="s">
        <v>213</v>
      </c>
    </row>
    <row r="44" spans="2:12" ht="14.25" customHeight="1" x14ac:dyDescent="0.35">
      <c r="K44" s="25">
        <v>63</v>
      </c>
      <c r="L44" s="25" t="s">
        <v>214</v>
      </c>
    </row>
    <row r="45" spans="2:12" ht="14.25" customHeight="1" x14ac:dyDescent="0.35">
      <c r="K45" s="25">
        <v>173</v>
      </c>
      <c r="L45" s="25" t="s">
        <v>215</v>
      </c>
    </row>
    <row r="46" spans="2:12" ht="14.25" customHeight="1" x14ac:dyDescent="0.35">
      <c r="K46" s="25">
        <v>29</v>
      </c>
      <c r="L46" s="25" t="s">
        <v>216</v>
      </c>
    </row>
    <row r="47" spans="2:12" ht="14.25" customHeight="1" x14ac:dyDescent="0.35">
      <c r="K47" s="25">
        <v>268</v>
      </c>
      <c r="L47" s="25" t="s">
        <v>217</v>
      </c>
    </row>
    <row r="48" spans="2:12" ht="14.25" customHeight="1" x14ac:dyDescent="0.35">
      <c r="K48" s="25">
        <v>34</v>
      </c>
      <c r="L48" s="25" t="s">
        <v>218</v>
      </c>
    </row>
    <row r="49" spans="11:12" ht="14.25" customHeight="1" x14ac:dyDescent="0.35">
      <c r="K49" s="25">
        <v>58</v>
      </c>
      <c r="L49" s="25" t="s">
        <v>219</v>
      </c>
    </row>
    <row r="50" spans="11:12" ht="14.25" customHeight="1" x14ac:dyDescent="0.35">
      <c r="K50" s="25">
        <v>164</v>
      </c>
      <c r="L50" s="25" t="s">
        <v>220</v>
      </c>
    </row>
    <row r="51" spans="11:12" ht="14.25" customHeight="1" x14ac:dyDescent="0.35">
      <c r="K51" s="25">
        <v>86</v>
      </c>
      <c r="L51" s="25" t="s">
        <v>221</v>
      </c>
    </row>
    <row r="52" spans="11:12" ht="14.25" customHeight="1" x14ac:dyDescent="0.35">
      <c r="K52" s="25">
        <v>270</v>
      </c>
      <c r="L52" s="25" t="s">
        <v>222</v>
      </c>
    </row>
    <row r="53" spans="11:12" ht="14.25" customHeight="1" x14ac:dyDescent="0.35">
      <c r="K53" s="25">
        <v>50</v>
      </c>
      <c r="L53" s="25" t="s">
        <v>223</v>
      </c>
    </row>
    <row r="54" spans="11:12" ht="14.25" customHeight="1" x14ac:dyDescent="0.35">
      <c r="K54" s="25">
        <v>60</v>
      </c>
      <c r="L54" s="25" t="s">
        <v>224</v>
      </c>
    </row>
    <row r="55" spans="11:12" ht="14.25" customHeight="1" x14ac:dyDescent="0.35">
      <c r="K55" s="25">
        <v>99</v>
      </c>
      <c r="L55" s="25" t="s">
        <v>225</v>
      </c>
    </row>
    <row r="56" spans="11:12" ht="14.25" customHeight="1" x14ac:dyDescent="0.35">
      <c r="K56" s="25">
        <v>155</v>
      </c>
      <c r="L56" s="25" t="s">
        <v>226</v>
      </c>
    </row>
    <row r="57" spans="11:12" ht="14.25" customHeight="1" x14ac:dyDescent="0.35">
      <c r="K57" s="25">
        <v>36</v>
      </c>
      <c r="L57" s="25" t="s">
        <v>227</v>
      </c>
    </row>
    <row r="58" spans="11:12" ht="14.25" customHeight="1" x14ac:dyDescent="0.35">
      <c r="K58" s="25">
        <v>37</v>
      </c>
      <c r="L58" s="25" t="s">
        <v>228</v>
      </c>
    </row>
    <row r="59" spans="11:12" ht="14.25" customHeight="1" x14ac:dyDescent="0.35">
      <c r="K59" s="25">
        <v>46</v>
      </c>
      <c r="L59" s="25" t="s">
        <v>229</v>
      </c>
    </row>
    <row r="60" spans="11:12" ht="14.25" customHeight="1" x14ac:dyDescent="0.35">
      <c r="K60" s="25">
        <v>177</v>
      </c>
      <c r="L60" s="25" t="s">
        <v>230</v>
      </c>
    </row>
    <row r="61" spans="11:12" ht="14.25" customHeight="1" x14ac:dyDescent="0.35">
      <c r="K61" s="25">
        <v>196</v>
      </c>
      <c r="L61" s="25" t="s">
        <v>231</v>
      </c>
    </row>
    <row r="62" spans="11:12" ht="14.25" customHeight="1" x14ac:dyDescent="0.35">
      <c r="K62" s="25">
        <v>16</v>
      </c>
      <c r="L62" s="25" t="s">
        <v>232</v>
      </c>
    </row>
    <row r="63" spans="11:12" ht="14.25" customHeight="1" x14ac:dyDescent="0.35">
      <c r="K63" s="25">
        <v>215</v>
      </c>
      <c r="L63" s="25" t="s">
        <v>233</v>
      </c>
    </row>
    <row r="64" spans="11:12" ht="14.25" customHeight="1" x14ac:dyDescent="0.35">
      <c r="K64" s="25">
        <v>138</v>
      </c>
      <c r="L64" s="25" t="s">
        <v>234</v>
      </c>
    </row>
    <row r="65" spans="11:12" ht="14.25" customHeight="1" x14ac:dyDescent="0.35">
      <c r="K65" s="25">
        <v>254</v>
      </c>
      <c r="L65" s="25" t="s">
        <v>235</v>
      </c>
    </row>
    <row r="66" spans="11:12" ht="14.25" customHeight="1" x14ac:dyDescent="0.35">
      <c r="K66" s="25">
        <v>180</v>
      </c>
      <c r="L66" s="25" t="s">
        <v>236</v>
      </c>
    </row>
    <row r="67" spans="11:12" ht="14.25" customHeight="1" x14ac:dyDescent="0.35">
      <c r="K67" s="25">
        <v>45</v>
      </c>
      <c r="L67" s="25" t="s">
        <v>237</v>
      </c>
    </row>
    <row r="68" spans="11:12" ht="14.25" customHeight="1" x14ac:dyDescent="0.35">
      <c r="K68" s="25">
        <v>44</v>
      </c>
      <c r="L68" s="25" t="s">
        <v>238</v>
      </c>
    </row>
    <row r="69" spans="11:12" ht="14.25" customHeight="1" x14ac:dyDescent="0.35">
      <c r="K69" s="25">
        <v>49</v>
      </c>
      <c r="L69" s="25" t="s">
        <v>239</v>
      </c>
    </row>
    <row r="70" spans="11:12" ht="14.25" customHeight="1" x14ac:dyDescent="0.35">
      <c r="K70" s="25">
        <v>66</v>
      </c>
      <c r="L70" s="25" t="s">
        <v>240</v>
      </c>
    </row>
    <row r="71" spans="11:12" ht="14.25" customHeight="1" x14ac:dyDescent="0.35">
      <c r="K71" s="25">
        <v>148</v>
      </c>
      <c r="L71" s="25" t="s">
        <v>241</v>
      </c>
    </row>
    <row r="72" spans="11:12" ht="14.25" customHeight="1" x14ac:dyDescent="0.35">
      <c r="K72" s="25">
        <v>277</v>
      </c>
      <c r="L72" s="25" t="s">
        <v>242</v>
      </c>
    </row>
    <row r="73" spans="11:12" ht="14.25" customHeight="1" x14ac:dyDescent="0.35">
      <c r="K73" s="25">
        <v>258</v>
      </c>
      <c r="L73" s="25" t="s">
        <v>243</v>
      </c>
    </row>
    <row r="74" spans="11:12" ht="14.25" customHeight="1" x14ac:dyDescent="0.35">
      <c r="K74" s="25">
        <v>52</v>
      </c>
      <c r="L74" s="25" t="s">
        <v>244</v>
      </c>
    </row>
    <row r="75" spans="11:12" ht="14.25" customHeight="1" x14ac:dyDescent="0.35">
      <c r="K75" s="25">
        <v>239</v>
      </c>
      <c r="L75" s="25" t="s">
        <v>245</v>
      </c>
    </row>
    <row r="76" spans="11:12" ht="14.25" customHeight="1" x14ac:dyDescent="0.35">
      <c r="K76" s="25">
        <v>241</v>
      </c>
      <c r="L76" s="25" t="s">
        <v>246</v>
      </c>
    </row>
    <row r="77" spans="11:12" ht="14.25" customHeight="1" x14ac:dyDescent="0.35">
      <c r="K77" s="25">
        <v>159</v>
      </c>
      <c r="L77" s="25" t="s">
        <v>247</v>
      </c>
    </row>
    <row r="78" spans="11:12" ht="14.25" customHeight="1" x14ac:dyDescent="0.35">
      <c r="K78" s="25">
        <v>51</v>
      </c>
      <c r="L78" s="25" t="s">
        <v>248</v>
      </c>
    </row>
    <row r="79" spans="11:12" ht="14.25" customHeight="1" x14ac:dyDescent="0.35">
      <c r="K79" s="25">
        <v>55</v>
      </c>
      <c r="L79" s="25" t="s">
        <v>249</v>
      </c>
    </row>
    <row r="80" spans="11:12" ht="14.25" customHeight="1" x14ac:dyDescent="0.35">
      <c r="K80" s="25">
        <v>53</v>
      </c>
      <c r="L80" s="25" t="s">
        <v>250</v>
      </c>
    </row>
    <row r="81" spans="11:12" ht="14.25" customHeight="1" x14ac:dyDescent="0.35">
      <c r="K81" s="25">
        <v>56</v>
      </c>
      <c r="L81" s="25" t="s">
        <v>251</v>
      </c>
    </row>
    <row r="82" spans="11:12" ht="14.25" customHeight="1" x14ac:dyDescent="0.35">
      <c r="K82" s="25">
        <v>57</v>
      </c>
      <c r="L82" s="25" t="s">
        <v>252</v>
      </c>
    </row>
    <row r="83" spans="11:12" ht="14.25" customHeight="1" x14ac:dyDescent="0.35">
      <c r="K83" s="25">
        <v>31</v>
      </c>
      <c r="L83" s="25" t="s">
        <v>253</v>
      </c>
    </row>
    <row r="84" spans="11:12" ht="14.25" customHeight="1" x14ac:dyDescent="0.35">
      <c r="K84" s="25">
        <v>98</v>
      </c>
      <c r="L84" s="25" t="s">
        <v>254</v>
      </c>
    </row>
    <row r="85" spans="11:12" ht="14.25" customHeight="1" x14ac:dyDescent="0.35">
      <c r="K85" s="25">
        <v>194</v>
      </c>
      <c r="L85" s="25" t="s">
        <v>255</v>
      </c>
    </row>
    <row r="86" spans="11:12" ht="14.25" customHeight="1" x14ac:dyDescent="0.35">
      <c r="K86" s="25">
        <v>101</v>
      </c>
      <c r="L86" s="25" t="s">
        <v>256</v>
      </c>
    </row>
    <row r="87" spans="11:12" ht="14.25" customHeight="1" x14ac:dyDescent="0.35">
      <c r="K87" s="25">
        <v>172</v>
      </c>
      <c r="L87" s="25" t="s">
        <v>257</v>
      </c>
    </row>
    <row r="88" spans="11:12" ht="14.25" customHeight="1" x14ac:dyDescent="0.35">
      <c r="K88" s="25">
        <v>90</v>
      </c>
      <c r="L88" s="25" t="s">
        <v>258</v>
      </c>
    </row>
    <row r="89" spans="11:12" ht="14.25" customHeight="1" x14ac:dyDescent="0.35">
      <c r="K89" s="25">
        <v>219</v>
      </c>
      <c r="L89" s="25" t="s">
        <v>259</v>
      </c>
    </row>
    <row r="90" spans="11:12" ht="14.25" customHeight="1" x14ac:dyDescent="0.35">
      <c r="K90" s="25">
        <v>280</v>
      </c>
      <c r="L90" s="25" t="s">
        <v>260</v>
      </c>
    </row>
    <row r="91" spans="11:12" ht="14.25" customHeight="1" x14ac:dyDescent="0.35">
      <c r="K91" s="25">
        <v>67</v>
      </c>
      <c r="L91" s="25" t="s">
        <v>261</v>
      </c>
    </row>
    <row r="92" spans="11:12" ht="14.25" customHeight="1" x14ac:dyDescent="0.35">
      <c r="K92" s="25">
        <v>261</v>
      </c>
      <c r="L92" s="25" t="s">
        <v>262</v>
      </c>
    </row>
    <row r="93" spans="11:12" ht="14.25" customHeight="1" x14ac:dyDescent="0.35">
      <c r="K93" s="25">
        <v>68</v>
      </c>
      <c r="L93" s="25" t="s">
        <v>263</v>
      </c>
    </row>
    <row r="94" spans="11:12" ht="14.25" customHeight="1" x14ac:dyDescent="0.35">
      <c r="K94" s="25">
        <v>274</v>
      </c>
      <c r="L94" s="25" t="s">
        <v>264</v>
      </c>
    </row>
    <row r="95" spans="11:12" ht="14.25" customHeight="1" x14ac:dyDescent="0.35">
      <c r="K95" s="25">
        <v>75</v>
      </c>
      <c r="L95" s="25" t="s">
        <v>265</v>
      </c>
    </row>
    <row r="96" spans="11:12" ht="14.25" customHeight="1" x14ac:dyDescent="0.35">
      <c r="K96" s="25">
        <v>253</v>
      </c>
      <c r="L96" s="25" t="s">
        <v>266</v>
      </c>
    </row>
    <row r="97" spans="11:12" ht="14.25" customHeight="1" x14ac:dyDescent="0.35">
      <c r="K97" s="25">
        <v>186</v>
      </c>
      <c r="L97" s="25" t="s">
        <v>267</v>
      </c>
    </row>
    <row r="98" spans="11:12" ht="14.25" customHeight="1" x14ac:dyDescent="0.35">
      <c r="K98" s="25">
        <v>76</v>
      </c>
      <c r="L98" s="25" t="s">
        <v>268</v>
      </c>
    </row>
    <row r="99" spans="11:12" ht="14.25" customHeight="1" x14ac:dyDescent="0.35">
      <c r="K99" s="25">
        <v>192</v>
      </c>
      <c r="L99" s="25" t="s">
        <v>269</v>
      </c>
    </row>
    <row r="100" spans="11:12" ht="14.25" customHeight="1" x14ac:dyDescent="0.35">
      <c r="K100" s="25">
        <v>193</v>
      </c>
      <c r="L100" s="25" t="s">
        <v>270</v>
      </c>
    </row>
    <row r="101" spans="11:12" ht="14.25" customHeight="1" x14ac:dyDescent="0.35">
      <c r="K101" s="25">
        <v>13</v>
      </c>
      <c r="L101" s="25" t="s">
        <v>271</v>
      </c>
    </row>
    <row r="102" spans="11:12" ht="14.25" customHeight="1" x14ac:dyDescent="0.35">
      <c r="K102" s="25">
        <v>266</v>
      </c>
      <c r="L102" s="25" t="s">
        <v>272</v>
      </c>
    </row>
    <row r="103" spans="11:12" ht="14.25" customHeight="1" x14ac:dyDescent="0.35">
      <c r="K103" s="25">
        <v>279</v>
      </c>
      <c r="L103" s="25" t="s">
        <v>273</v>
      </c>
    </row>
    <row r="104" spans="11:12" ht="14.25" customHeight="1" x14ac:dyDescent="0.35">
      <c r="K104" s="25">
        <v>78</v>
      </c>
      <c r="L104" s="25" t="s">
        <v>274</v>
      </c>
    </row>
    <row r="105" spans="11:12" ht="14.25" customHeight="1" x14ac:dyDescent="0.35">
      <c r="K105" s="25">
        <v>273</v>
      </c>
      <c r="L105" s="25" t="s">
        <v>275</v>
      </c>
    </row>
    <row r="106" spans="11:12" ht="14.25" customHeight="1" x14ac:dyDescent="0.35">
      <c r="K106" s="25">
        <v>82</v>
      </c>
      <c r="L106" s="25" t="s">
        <v>276</v>
      </c>
    </row>
    <row r="107" spans="11:12" ht="14.25" customHeight="1" x14ac:dyDescent="0.35">
      <c r="K107" s="25">
        <v>23</v>
      </c>
      <c r="L107" s="25" t="s">
        <v>277</v>
      </c>
    </row>
    <row r="108" spans="11:12" ht="14.25" customHeight="1" x14ac:dyDescent="0.35">
      <c r="K108" s="25">
        <v>195</v>
      </c>
      <c r="L108" s="25" t="s">
        <v>278</v>
      </c>
    </row>
    <row r="109" spans="11:12" ht="14.25" customHeight="1" x14ac:dyDescent="0.35">
      <c r="K109" s="25">
        <v>47</v>
      </c>
      <c r="L109" s="25" t="s">
        <v>279</v>
      </c>
    </row>
    <row r="110" spans="11:12" ht="14.25" customHeight="1" x14ac:dyDescent="0.35">
      <c r="K110" s="25">
        <v>84</v>
      </c>
      <c r="L110" s="25" t="s">
        <v>280</v>
      </c>
    </row>
    <row r="111" spans="11:12" ht="14.25" customHeight="1" x14ac:dyDescent="0.35">
      <c r="K111" s="25">
        <v>197</v>
      </c>
      <c r="L111" s="25" t="s">
        <v>281</v>
      </c>
    </row>
    <row r="112" spans="11:12" ht="14.25" customHeight="1" x14ac:dyDescent="0.35">
      <c r="K112" s="25">
        <v>160</v>
      </c>
      <c r="L112" s="25" t="s">
        <v>282</v>
      </c>
    </row>
    <row r="113" spans="11:12" ht="14.25" customHeight="1" x14ac:dyDescent="0.35">
      <c r="K113" s="25">
        <v>65</v>
      </c>
      <c r="L113" s="25" t="s">
        <v>283</v>
      </c>
    </row>
    <row r="114" spans="11:12" ht="14.25" customHeight="1" x14ac:dyDescent="0.35">
      <c r="K114" s="25">
        <v>88</v>
      </c>
      <c r="L114" s="25" t="s">
        <v>284</v>
      </c>
    </row>
    <row r="115" spans="11:12" ht="14.25" customHeight="1" x14ac:dyDescent="0.35">
      <c r="K115" s="25">
        <v>152</v>
      </c>
      <c r="L115" s="25" t="s">
        <v>285</v>
      </c>
    </row>
    <row r="116" spans="11:12" ht="14.25" customHeight="1" x14ac:dyDescent="0.35">
      <c r="K116" s="25">
        <v>72</v>
      </c>
      <c r="L116" s="25" t="s">
        <v>286</v>
      </c>
    </row>
    <row r="117" spans="11:12" ht="14.25" customHeight="1" x14ac:dyDescent="0.35">
      <c r="K117" s="25">
        <v>191</v>
      </c>
      <c r="L117" s="25" t="s">
        <v>287</v>
      </c>
    </row>
    <row r="118" spans="11:12" ht="14.25" customHeight="1" x14ac:dyDescent="0.35">
      <c r="K118" s="25">
        <v>247</v>
      </c>
      <c r="L118" s="25" t="s">
        <v>288</v>
      </c>
    </row>
    <row r="119" spans="11:12" ht="14.25" customHeight="1" x14ac:dyDescent="0.35">
      <c r="K119" s="25">
        <v>91</v>
      </c>
      <c r="L119" s="25" t="s">
        <v>289</v>
      </c>
    </row>
    <row r="120" spans="11:12" ht="14.25" customHeight="1" x14ac:dyDescent="0.35">
      <c r="K120" s="25">
        <v>255</v>
      </c>
      <c r="L120" s="25" t="s">
        <v>290</v>
      </c>
    </row>
    <row r="121" spans="11:12" ht="14.25" customHeight="1" x14ac:dyDescent="0.35">
      <c r="K121" s="25">
        <v>288</v>
      </c>
      <c r="L121" s="25" t="s">
        <v>291</v>
      </c>
    </row>
    <row r="122" spans="11:12" ht="14.25" customHeight="1" x14ac:dyDescent="0.35">
      <c r="K122" s="25">
        <v>284</v>
      </c>
      <c r="L122" s="25" t="s">
        <v>292</v>
      </c>
    </row>
    <row r="123" spans="11:12" ht="14.25" customHeight="1" x14ac:dyDescent="0.35">
      <c r="K123" s="25">
        <v>142</v>
      </c>
      <c r="L123" s="25" t="s">
        <v>293</v>
      </c>
    </row>
    <row r="124" spans="11:12" ht="14.25" customHeight="1" x14ac:dyDescent="0.35">
      <c r="K124" s="25">
        <v>104</v>
      </c>
      <c r="L124" s="25" t="s">
        <v>294</v>
      </c>
    </row>
    <row r="125" spans="11:12" ht="14.25" customHeight="1" x14ac:dyDescent="0.35">
      <c r="K125" s="25">
        <v>217</v>
      </c>
      <c r="L125" s="25" t="s">
        <v>295</v>
      </c>
    </row>
    <row r="126" spans="11:12" ht="14.25" customHeight="1" x14ac:dyDescent="0.35">
      <c r="K126" s="25">
        <v>79</v>
      </c>
      <c r="L126" s="25" t="s">
        <v>296</v>
      </c>
    </row>
    <row r="127" spans="11:12" ht="14.25" customHeight="1" x14ac:dyDescent="0.35">
      <c r="K127" s="25">
        <v>77</v>
      </c>
      <c r="L127" s="25" t="s">
        <v>297</v>
      </c>
    </row>
    <row r="128" spans="11:12" ht="14.25" customHeight="1" x14ac:dyDescent="0.35">
      <c r="K128" s="25">
        <v>130</v>
      </c>
      <c r="L128" s="25" t="s">
        <v>298</v>
      </c>
    </row>
    <row r="129" spans="11:12" ht="14.25" customHeight="1" x14ac:dyDescent="0.35">
      <c r="K129" s="25">
        <v>226</v>
      </c>
      <c r="L129" s="25" t="s">
        <v>299</v>
      </c>
    </row>
    <row r="130" spans="11:12" ht="14.25" customHeight="1" x14ac:dyDescent="0.35">
      <c r="K130" s="25">
        <v>96</v>
      </c>
      <c r="L130" s="25" t="s">
        <v>300</v>
      </c>
    </row>
    <row r="131" spans="11:12" ht="14.25" customHeight="1" x14ac:dyDescent="0.35">
      <c r="K131" s="25">
        <v>85</v>
      </c>
      <c r="L131" s="25" t="s">
        <v>301</v>
      </c>
    </row>
    <row r="132" spans="11:12" ht="14.25" customHeight="1" x14ac:dyDescent="0.35">
      <c r="K132" s="25">
        <v>17</v>
      </c>
      <c r="L132" s="25" t="s">
        <v>302</v>
      </c>
    </row>
    <row r="133" spans="11:12" ht="14.25" customHeight="1" x14ac:dyDescent="0.35">
      <c r="K133" s="25">
        <v>100</v>
      </c>
      <c r="L133" s="25" t="s">
        <v>303</v>
      </c>
    </row>
    <row r="134" spans="11:12" ht="14.25" customHeight="1" x14ac:dyDescent="0.35">
      <c r="K134" s="25">
        <v>291</v>
      </c>
      <c r="L134" s="25" t="s">
        <v>304</v>
      </c>
    </row>
    <row r="135" spans="11:12" ht="14.25" customHeight="1" x14ac:dyDescent="0.35">
      <c r="K135" s="25">
        <v>240</v>
      </c>
      <c r="L135" s="25" t="s">
        <v>305</v>
      </c>
    </row>
    <row r="136" spans="11:12" ht="14.25" customHeight="1" x14ac:dyDescent="0.35">
      <c r="K136" s="25">
        <v>102</v>
      </c>
      <c r="L136" s="25" t="s">
        <v>306</v>
      </c>
    </row>
    <row r="137" spans="11:12" ht="14.25" customHeight="1" x14ac:dyDescent="0.35">
      <c r="K137" s="25">
        <v>108</v>
      </c>
      <c r="L137" s="25" t="s">
        <v>307</v>
      </c>
    </row>
    <row r="138" spans="11:12" ht="14.25" customHeight="1" x14ac:dyDescent="0.35">
      <c r="K138" s="25">
        <v>244</v>
      </c>
      <c r="L138" s="25" t="s">
        <v>308</v>
      </c>
    </row>
    <row r="139" spans="11:12" ht="14.25" customHeight="1" x14ac:dyDescent="0.35">
      <c r="K139" s="25">
        <v>106</v>
      </c>
      <c r="L139" s="25" t="s">
        <v>309</v>
      </c>
    </row>
    <row r="140" spans="11:12" ht="14.25" customHeight="1" x14ac:dyDescent="0.35">
      <c r="K140" s="25">
        <v>107</v>
      </c>
      <c r="L140" s="25" t="s">
        <v>310</v>
      </c>
    </row>
    <row r="141" spans="11:12" ht="14.25" customHeight="1" x14ac:dyDescent="0.35">
      <c r="K141" s="25">
        <v>109</v>
      </c>
      <c r="L141" s="25" t="s">
        <v>311</v>
      </c>
    </row>
    <row r="142" spans="11:12" ht="14.25" customHeight="1" x14ac:dyDescent="0.35">
      <c r="K142" s="25">
        <v>105</v>
      </c>
      <c r="L142" s="25" t="s">
        <v>312</v>
      </c>
    </row>
    <row r="143" spans="11:12" ht="14.25" customHeight="1" x14ac:dyDescent="0.35">
      <c r="K143" s="25">
        <v>81</v>
      </c>
      <c r="L143" s="25" t="s">
        <v>313</v>
      </c>
    </row>
    <row r="144" spans="11:12" ht="14.25" customHeight="1" x14ac:dyDescent="0.35">
      <c r="K144" s="25">
        <v>205</v>
      </c>
      <c r="L144" s="25" t="s">
        <v>314</v>
      </c>
    </row>
    <row r="145" spans="11:12" ht="14.25" customHeight="1" x14ac:dyDescent="0.35">
      <c r="K145" s="25">
        <v>112</v>
      </c>
      <c r="L145" s="25" t="s">
        <v>315</v>
      </c>
    </row>
    <row r="146" spans="11:12" ht="14.25" customHeight="1" x14ac:dyDescent="0.35">
      <c r="K146" s="25">
        <v>93</v>
      </c>
      <c r="L146" s="25" t="s">
        <v>316</v>
      </c>
    </row>
    <row r="147" spans="11:12" ht="14.25" customHeight="1" x14ac:dyDescent="0.35">
      <c r="K147" s="25">
        <v>115</v>
      </c>
      <c r="L147" s="25" t="s">
        <v>317</v>
      </c>
    </row>
    <row r="148" spans="11:12" ht="14.25" customHeight="1" x14ac:dyDescent="0.35">
      <c r="K148" s="25">
        <v>116</v>
      </c>
      <c r="L148" s="25" t="s">
        <v>318</v>
      </c>
    </row>
    <row r="149" spans="11:12" ht="14.25" customHeight="1" x14ac:dyDescent="0.35">
      <c r="K149" s="25">
        <v>272</v>
      </c>
      <c r="L149" s="25" t="s">
        <v>319</v>
      </c>
    </row>
    <row r="150" spans="11:12" ht="14.25" customHeight="1" x14ac:dyDescent="0.35">
      <c r="K150" s="25">
        <v>118</v>
      </c>
      <c r="L150" s="25" t="s">
        <v>320</v>
      </c>
    </row>
    <row r="151" spans="11:12" ht="14.25" customHeight="1" x14ac:dyDescent="0.35">
      <c r="K151" s="25">
        <v>119</v>
      </c>
      <c r="L151" s="25" t="s">
        <v>321</v>
      </c>
    </row>
    <row r="152" spans="11:12" ht="14.25" customHeight="1" x14ac:dyDescent="0.35">
      <c r="K152" s="25">
        <v>7</v>
      </c>
      <c r="L152" s="25" t="s">
        <v>322</v>
      </c>
    </row>
    <row r="153" spans="11:12" ht="14.25" customHeight="1" x14ac:dyDescent="0.35">
      <c r="K153" s="25">
        <v>150</v>
      </c>
      <c r="L153" s="25" t="s">
        <v>323</v>
      </c>
    </row>
    <row r="154" spans="11:12" ht="14.25" customHeight="1" x14ac:dyDescent="0.35">
      <c r="K154" s="25">
        <v>120</v>
      </c>
      <c r="L154" s="25" t="s">
        <v>324</v>
      </c>
    </row>
    <row r="155" spans="11:12" ht="14.25" customHeight="1" x14ac:dyDescent="0.35">
      <c r="K155" s="25">
        <v>117</v>
      </c>
      <c r="L155" s="25" t="s">
        <v>54</v>
      </c>
    </row>
    <row r="156" spans="11:12" ht="14.25" customHeight="1" x14ac:dyDescent="0.35">
      <c r="K156" s="25">
        <v>149</v>
      </c>
      <c r="L156" s="25" t="s">
        <v>325</v>
      </c>
    </row>
    <row r="157" spans="11:12" ht="14.25" customHeight="1" x14ac:dyDescent="0.35">
      <c r="K157" s="25">
        <v>264</v>
      </c>
      <c r="L157" s="25" t="s">
        <v>326</v>
      </c>
    </row>
    <row r="158" spans="11:12" ht="14.25" customHeight="1" x14ac:dyDescent="0.35">
      <c r="K158" s="25">
        <v>122</v>
      </c>
      <c r="L158" s="25" t="s">
        <v>327</v>
      </c>
    </row>
    <row r="159" spans="11:12" ht="14.25" customHeight="1" x14ac:dyDescent="0.35">
      <c r="K159" s="25">
        <v>167</v>
      </c>
      <c r="L159" s="25" t="s">
        <v>328</v>
      </c>
    </row>
    <row r="160" spans="11:12" ht="14.25" customHeight="1" x14ac:dyDescent="0.35">
      <c r="K160" s="25">
        <v>128</v>
      </c>
      <c r="L160" s="25" t="s">
        <v>329</v>
      </c>
    </row>
    <row r="161" spans="11:12" ht="14.25" customHeight="1" x14ac:dyDescent="0.35">
      <c r="K161" s="25">
        <v>123</v>
      </c>
      <c r="L161" s="25" t="s">
        <v>330</v>
      </c>
    </row>
    <row r="162" spans="11:12" ht="14.25" customHeight="1" x14ac:dyDescent="0.35">
      <c r="K162" s="25">
        <v>124</v>
      </c>
      <c r="L162" s="25" t="s">
        <v>331</v>
      </c>
    </row>
    <row r="163" spans="11:12" ht="14.25" customHeight="1" x14ac:dyDescent="0.35">
      <c r="K163" s="25">
        <v>125</v>
      </c>
      <c r="L163" s="25" t="s">
        <v>332</v>
      </c>
    </row>
    <row r="164" spans="11:12" ht="14.25" customHeight="1" x14ac:dyDescent="0.35">
      <c r="K164" s="25">
        <v>126</v>
      </c>
      <c r="L164" s="25" t="s">
        <v>333</v>
      </c>
    </row>
    <row r="165" spans="11:12" ht="14.25" customHeight="1" x14ac:dyDescent="0.35">
      <c r="K165" s="25">
        <v>127</v>
      </c>
      <c r="L165" s="25" t="s">
        <v>334</v>
      </c>
    </row>
    <row r="166" spans="11:12" ht="14.25" customHeight="1" x14ac:dyDescent="0.35">
      <c r="K166" s="25">
        <v>281</v>
      </c>
      <c r="L166" s="25" t="s">
        <v>335</v>
      </c>
    </row>
    <row r="167" spans="11:12" ht="14.25" customHeight="1" x14ac:dyDescent="0.35">
      <c r="K167" s="25">
        <v>129</v>
      </c>
      <c r="L167" s="25" t="s">
        <v>336</v>
      </c>
    </row>
    <row r="168" spans="11:12" ht="14.25" customHeight="1" x14ac:dyDescent="0.35">
      <c r="K168" s="25">
        <v>131</v>
      </c>
      <c r="L168" s="25" t="s">
        <v>337</v>
      </c>
    </row>
    <row r="169" spans="11:12" ht="14.25" customHeight="1" x14ac:dyDescent="0.35">
      <c r="K169" s="25">
        <v>207</v>
      </c>
      <c r="L169" s="25" t="s">
        <v>338</v>
      </c>
    </row>
    <row r="170" spans="11:12" ht="14.25" customHeight="1" x14ac:dyDescent="0.35">
      <c r="K170" s="25">
        <v>141</v>
      </c>
      <c r="L170" s="25" t="s">
        <v>339</v>
      </c>
    </row>
    <row r="171" spans="11:12" ht="14.25" customHeight="1" x14ac:dyDescent="0.35">
      <c r="K171" s="25">
        <v>140</v>
      </c>
      <c r="L171" s="25" t="s">
        <v>340</v>
      </c>
    </row>
    <row r="172" spans="11:12" ht="14.25" customHeight="1" x14ac:dyDescent="0.35">
      <c r="K172" s="25">
        <v>132</v>
      </c>
      <c r="L172" s="25" t="s">
        <v>341</v>
      </c>
    </row>
    <row r="173" spans="11:12" ht="14.25" customHeight="1" x14ac:dyDescent="0.35">
      <c r="K173" s="25">
        <v>269</v>
      </c>
      <c r="L173" s="25" t="s">
        <v>342</v>
      </c>
    </row>
    <row r="174" spans="11:12" ht="14.25" customHeight="1" x14ac:dyDescent="0.35">
      <c r="K174" s="25">
        <v>251</v>
      </c>
      <c r="L174" s="25" t="s">
        <v>343</v>
      </c>
    </row>
    <row r="175" spans="11:12" ht="14.25" customHeight="1" x14ac:dyDescent="0.35">
      <c r="K175" s="25">
        <v>211</v>
      </c>
      <c r="L175" s="25" t="s">
        <v>344</v>
      </c>
    </row>
    <row r="176" spans="11:12" ht="14.25" customHeight="1" x14ac:dyDescent="0.35">
      <c r="K176" s="25">
        <v>27</v>
      </c>
      <c r="L176" s="25" t="s">
        <v>345</v>
      </c>
    </row>
    <row r="177" spans="11:12" ht="14.25" customHeight="1" x14ac:dyDescent="0.35">
      <c r="K177" s="25">
        <v>22</v>
      </c>
      <c r="L177" s="25" t="s">
        <v>346</v>
      </c>
    </row>
    <row r="178" spans="11:12" ht="14.25" customHeight="1" x14ac:dyDescent="0.35">
      <c r="K178" s="25">
        <v>59</v>
      </c>
      <c r="L178" s="25" t="s">
        <v>347</v>
      </c>
    </row>
    <row r="179" spans="11:12" ht="14.25" customHeight="1" x14ac:dyDescent="0.35">
      <c r="K179" s="25">
        <v>153</v>
      </c>
      <c r="L179" s="25" t="s">
        <v>348</v>
      </c>
    </row>
    <row r="180" spans="11:12" ht="14.25" customHeight="1" x14ac:dyDescent="0.35">
      <c r="K180" s="25">
        <v>134</v>
      </c>
      <c r="L180" s="25" t="s">
        <v>349</v>
      </c>
    </row>
    <row r="181" spans="11:12" ht="14.25" customHeight="1" x14ac:dyDescent="0.35">
      <c r="K181" s="25">
        <v>133</v>
      </c>
      <c r="L181" s="25" t="s">
        <v>350</v>
      </c>
    </row>
    <row r="182" spans="11:12" ht="14.25" customHeight="1" x14ac:dyDescent="0.35">
      <c r="K182" s="25">
        <v>121</v>
      </c>
      <c r="L182" s="25" t="s">
        <v>351</v>
      </c>
    </row>
    <row r="183" spans="11:12" ht="14.25" customHeight="1" x14ac:dyDescent="0.35">
      <c r="K183" s="25">
        <v>113</v>
      </c>
      <c r="L183" s="25" t="s">
        <v>352</v>
      </c>
    </row>
    <row r="184" spans="11:12" ht="14.25" customHeight="1" x14ac:dyDescent="0.35">
      <c r="K184" s="25">
        <v>136</v>
      </c>
      <c r="L184" s="25" t="s">
        <v>353</v>
      </c>
    </row>
    <row r="185" spans="11:12" ht="14.25" customHeight="1" x14ac:dyDescent="0.35">
      <c r="K185" s="25">
        <v>139</v>
      </c>
      <c r="L185" s="25" t="s">
        <v>354</v>
      </c>
    </row>
    <row r="186" spans="11:12" ht="14.25" customHeight="1" x14ac:dyDescent="0.35">
      <c r="K186" s="25">
        <v>260</v>
      </c>
      <c r="L186" s="25" t="s">
        <v>355</v>
      </c>
    </row>
    <row r="187" spans="11:12" ht="14.25" customHeight="1" x14ac:dyDescent="0.35">
      <c r="K187" s="25">
        <v>146</v>
      </c>
      <c r="L187" s="25" t="s">
        <v>356</v>
      </c>
    </row>
    <row r="188" spans="11:12" ht="14.25" customHeight="1" x14ac:dyDescent="0.35">
      <c r="K188" s="25">
        <v>28</v>
      </c>
      <c r="L188" s="25" t="s">
        <v>357</v>
      </c>
    </row>
    <row r="189" spans="11:12" ht="14.25" customHeight="1" x14ac:dyDescent="0.35">
      <c r="K189" s="25">
        <v>147</v>
      </c>
      <c r="L189" s="25" t="s">
        <v>358</v>
      </c>
    </row>
    <row r="190" spans="11:12" ht="14.25" customHeight="1" x14ac:dyDescent="0.35">
      <c r="K190" s="25">
        <v>163</v>
      </c>
      <c r="L190" s="25" t="s">
        <v>359</v>
      </c>
    </row>
    <row r="191" spans="11:12" ht="14.25" customHeight="1" x14ac:dyDescent="0.35">
      <c r="K191" s="25">
        <v>162</v>
      </c>
      <c r="L191" s="25" t="s">
        <v>360</v>
      </c>
    </row>
    <row r="192" spans="11:12" ht="14.25" customHeight="1" x14ac:dyDescent="0.35">
      <c r="K192" s="25">
        <v>64</v>
      </c>
      <c r="L192" s="25" t="s">
        <v>361</v>
      </c>
    </row>
    <row r="193" spans="11:12" ht="14.25" customHeight="1" x14ac:dyDescent="0.35">
      <c r="K193" s="25">
        <v>151</v>
      </c>
      <c r="L193" s="25" t="s">
        <v>362</v>
      </c>
    </row>
    <row r="194" spans="11:12" ht="14.25" customHeight="1" x14ac:dyDescent="0.35">
      <c r="K194" s="25">
        <v>250</v>
      </c>
      <c r="L194" s="25" t="s">
        <v>363</v>
      </c>
    </row>
    <row r="195" spans="11:12" ht="14.25" customHeight="1" x14ac:dyDescent="0.35">
      <c r="K195" s="25">
        <v>156</v>
      </c>
      <c r="L195" s="25" t="s">
        <v>364</v>
      </c>
    </row>
    <row r="196" spans="11:12" ht="14.25" customHeight="1" x14ac:dyDescent="0.35">
      <c r="K196" s="25">
        <v>154</v>
      </c>
      <c r="L196" s="25" t="s">
        <v>365</v>
      </c>
    </row>
    <row r="197" spans="11:12" ht="14.25" customHeight="1" x14ac:dyDescent="0.35">
      <c r="K197" s="25">
        <v>24</v>
      </c>
      <c r="L197" s="25" t="s">
        <v>366</v>
      </c>
    </row>
    <row r="198" spans="11:12" ht="14.25" customHeight="1" x14ac:dyDescent="0.35">
      <c r="K198" s="25">
        <v>265</v>
      </c>
      <c r="L198" s="25" t="s">
        <v>367</v>
      </c>
    </row>
    <row r="199" spans="11:12" ht="14.25" customHeight="1" x14ac:dyDescent="0.35">
      <c r="K199" s="25">
        <v>182</v>
      </c>
      <c r="L199" s="25" t="s">
        <v>368</v>
      </c>
    </row>
    <row r="200" spans="11:12" ht="14.25" customHeight="1" x14ac:dyDescent="0.35">
      <c r="K200" s="25">
        <v>158</v>
      </c>
      <c r="L200" s="25" t="s">
        <v>369</v>
      </c>
    </row>
    <row r="201" spans="11:12" ht="14.25" customHeight="1" x14ac:dyDescent="0.35">
      <c r="K201" s="25">
        <v>262</v>
      </c>
      <c r="L201" s="25" t="s">
        <v>370</v>
      </c>
    </row>
    <row r="202" spans="11:12" ht="14.25" customHeight="1" x14ac:dyDescent="0.35">
      <c r="K202" s="25">
        <v>157</v>
      </c>
      <c r="L202" s="25" t="s">
        <v>371</v>
      </c>
    </row>
    <row r="203" spans="11:12" ht="14.25" customHeight="1" x14ac:dyDescent="0.35">
      <c r="K203" s="25">
        <v>143</v>
      </c>
      <c r="L203" s="25" t="s">
        <v>372</v>
      </c>
    </row>
    <row r="204" spans="11:12" ht="14.25" customHeight="1" x14ac:dyDescent="0.35">
      <c r="K204" s="25">
        <v>87</v>
      </c>
      <c r="L204" s="25" t="s">
        <v>373</v>
      </c>
    </row>
    <row r="205" spans="11:12" ht="14.25" customHeight="1" x14ac:dyDescent="0.35">
      <c r="K205" s="25">
        <v>161</v>
      </c>
      <c r="L205" s="25" t="s">
        <v>374</v>
      </c>
    </row>
    <row r="206" spans="11:12" ht="14.25" customHeight="1" x14ac:dyDescent="0.35">
      <c r="K206" s="25">
        <v>245</v>
      </c>
      <c r="L206" s="25" t="s">
        <v>375</v>
      </c>
    </row>
    <row r="207" spans="11:12" ht="14.25" customHeight="1" x14ac:dyDescent="0.35">
      <c r="K207" s="25">
        <v>103</v>
      </c>
      <c r="L207" s="25" t="s">
        <v>376</v>
      </c>
    </row>
    <row r="208" spans="11:12" ht="14.25" customHeight="1" x14ac:dyDescent="0.35">
      <c r="K208" s="25">
        <v>165</v>
      </c>
      <c r="L208" s="25" t="s">
        <v>377</v>
      </c>
    </row>
    <row r="209" spans="11:12" ht="14.25" customHeight="1" x14ac:dyDescent="0.35">
      <c r="K209" s="25">
        <v>289</v>
      </c>
      <c r="L209" s="25" t="s">
        <v>378</v>
      </c>
    </row>
    <row r="210" spans="11:12" ht="14.25" customHeight="1" x14ac:dyDescent="0.35">
      <c r="K210" s="25">
        <v>166</v>
      </c>
      <c r="L210" s="25" t="s">
        <v>379</v>
      </c>
    </row>
    <row r="211" spans="11:12" ht="14.25" customHeight="1" x14ac:dyDescent="0.35">
      <c r="K211" s="25">
        <v>168</v>
      </c>
      <c r="L211" s="25" t="s">
        <v>380</v>
      </c>
    </row>
    <row r="212" spans="11:12" ht="14.25" customHeight="1" x14ac:dyDescent="0.35">
      <c r="K212" s="25">
        <v>169</v>
      </c>
      <c r="L212" s="25" t="s">
        <v>381</v>
      </c>
    </row>
    <row r="213" spans="11:12" ht="14.25" customHeight="1" x14ac:dyDescent="0.35">
      <c r="K213" s="25">
        <v>179</v>
      </c>
      <c r="L213" s="25" t="s">
        <v>382</v>
      </c>
    </row>
    <row r="214" spans="11:12" ht="14.25" customHeight="1" x14ac:dyDescent="0.35">
      <c r="K214" s="25">
        <v>171</v>
      </c>
      <c r="L214" s="25" t="s">
        <v>383</v>
      </c>
    </row>
    <row r="215" spans="11:12" ht="14.25" customHeight="1" x14ac:dyDescent="0.35">
      <c r="K215" s="25">
        <v>111</v>
      </c>
      <c r="L215" s="25" t="s">
        <v>384</v>
      </c>
    </row>
    <row r="216" spans="11:12" ht="14.25" customHeight="1" x14ac:dyDescent="0.35">
      <c r="K216" s="25">
        <v>20</v>
      </c>
      <c r="L216" s="25" t="s">
        <v>385</v>
      </c>
    </row>
    <row r="217" spans="11:12" ht="14.25" customHeight="1" x14ac:dyDescent="0.35">
      <c r="K217" s="25">
        <v>33</v>
      </c>
      <c r="L217" s="25" t="s">
        <v>386</v>
      </c>
    </row>
    <row r="218" spans="11:12" ht="14.25" customHeight="1" x14ac:dyDescent="0.35">
      <c r="K218" s="25">
        <v>42</v>
      </c>
      <c r="L218" s="25" t="s">
        <v>387</v>
      </c>
    </row>
    <row r="219" spans="11:12" ht="14.25" customHeight="1" x14ac:dyDescent="0.35">
      <c r="K219" s="25">
        <v>267</v>
      </c>
      <c r="L219" s="25" t="s">
        <v>388</v>
      </c>
    </row>
    <row r="220" spans="11:12" ht="14.25" customHeight="1" x14ac:dyDescent="0.35">
      <c r="K220" s="25">
        <v>176</v>
      </c>
      <c r="L220" s="25" t="s">
        <v>389</v>
      </c>
    </row>
    <row r="221" spans="11:12" ht="14.25" customHeight="1" x14ac:dyDescent="0.35">
      <c r="K221" s="25">
        <v>283</v>
      </c>
      <c r="L221" s="25" t="s">
        <v>390</v>
      </c>
    </row>
    <row r="222" spans="11:12" ht="14.25" customHeight="1" x14ac:dyDescent="0.35">
      <c r="K222" s="25">
        <v>174</v>
      </c>
      <c r="L222" s="25" t="s">
        <v>391</v>
      </c>
    </row>
    <row r="223" spans="11:12" ht="14.25" customHeight="1" x14ac:dyDescent="0.35">
      <c r="K223" s="25">
        <v>178</v>
      </c>
      <c r="L223" s="25" t="s">
        <v>392</v>
      </c>
    </row>
    <row r="224" spans="11:12" ht="14.25" customHeight="1" x14ac:dyDescent="0.35">
      <c r="K224" s="25">
        <v>170</v>
      </c>
      <c r="L224" s="25" t="s">
        <v>393</v>
      </c>
    </row>
    <row r="225" spans="11:12" ht="14.25" customHeight="1" x14ac:dyDescent="0.35">
      <c r="K225" s="25">
        <v>94</v>
      </c>
      <c r="L225" s="25" t="s">
        <v>394</v>
      </c>
    </row>
    <row r="226" spans="11:12" ht="14.25" customHeight="1" x14ac:dyDescent="0.35">
      <c r="K226" s="25">
        <v>285</v>
      </c>
      <c r="L226" s="25" t="s">
        <v>395</v>
      </c>
    </row>
    <row r="227" spans="11:12" ht="14.25" customHeight="1" x14ac:dyDescent="0.35">
      <c r="K227" s="25">
        <v>145</v>
      </c>
      <c r="L227" s="25" t="s">
        <v>396</v>
      </c>
    </row>
    <row r="228" spans="11:12" ht="14.25" customHeight="1" x14ac:dyDescent="0.35">
      <c r="K228" s="25">
        <v>183</v>
      </c>
      <c r="L228" s="25" t="s">
        <v>397</v>
      </c>
    </row>
    <row r="229" spans="11:12" ht="14.25" customHeight="1" x14ac:dyDescent="0.35">
      <c r="K229" s="25">
        <v>259</v>
      </c>
      <c r="L229" s="25" t="s">
        <v>398</v>
      </c>
    </row>
    <row r="230" spans="11:12" ht="14.25" customHeight="1" x14ac:dyDescent="0.35">
      <c r="K230" s="25">
        <v>212</v>
      </c>
      <c r="L230" s="25" t="s">
        <v>399</v>
      </c>
    </row>
    <row r="231" spans="11:12" ht="14.25" customHeight="1" x14ac:dyDescent="0.35">
      <c r="K231" s="25">
        <v>185</v>
      </c>
      <c r="L231" s="25" t="s">
        <v>400</v>
      </c>
    </row>
    <row r="232" spans="11:12" ht="14.25" customHeight="1" x14ac:dyDescent="0.35">
      <c r="K232" s="25">
        <v>275</v>
      </c>
      <c r="L232" s="25" t="s">
        <v>401</v>
      </c>
    </row>
    <row r="233" spans="11:12" ht="14.25" customHeight="1" x14ac:dyDescent="0.35">
      <c r="K233" s="25">
        <v>181</v>
      </c>
      <c r="L233" s="25" t="s">
        <v>402</v>
      </c>
    </row>
    <row r="234" spans="11:12" ht="14.25" customHeight="1" x14ac:dyDescent="0.35">
      <c r="K234" s="25">
        <v>35</v>
      </c>
      <c r="L234" s="25" t="s">
        <v>403</v>
      </c>
    </row>
    <row r="235" spans="11:12" ht="14.25" customHeight="1" x14ac:dyDescent="0.35">
      <c r="K235" s="25">
        <v>6</v>
      </c>
      <c r="L235" s="25" t="s">
        <v>404</v>
      </c>
    </row>
    <row r="236" spans="11:12" ht="14.25" customHeight="1" x14ac:dyDescent="0.35">
      <c r="K236" s="25">
        <v>189</v>
      </c>
      <c r="L236" s="25" t="s">
        <v>405</v>
      </c>
    </row>
    <row r="237" spans="11:12" ht="14.25" customHeight="1" x14ac:dyDescent="0.35">
      <c r="K237" s="25">
        <v>190</v>
      </c>
      <c r="L237" s="25" t="s">
        <v>406</v>
      </c>
    </row>
    <row r="238" spans="11:12" ht="14.25" customHeight="1" x14ac:dyDescent="0.35">
      <c r="K238" s="25">
        <v>198</v>
      </c>
      <c r="L238" s="25" t="s">
        <v>407</v>
      </c>
    </row>
    <row r="239" spans="11:12" ht="14.25" customHeight="1" x14ac:dyDescent="0.35">
      <c r="K239" s="25">
        <v>187</v>
      </c>
      <c r="L239" s="25" t="s">
        <v>408</v>
      </c>
    </row>
    <row r="240" spans="11:12" ht="14.25" customHeight="1" x14ac:dyDescent="0.35">
      <c r="K240" s="25">
        <v>203</v>
      </c>
      <c r="L240" s="25" t="s">
        <v>409</v>
      </c>
    </row>
    <row r="241" spans="11:12" ht="14.25" customHeight="1" x14ac:dyDescent="0.35">
      <c r="K241" s="25">
        <v>199</v>
      </c>
      <c r="L241" s="25" t="s">
        <v>410</v>
      </c>
    </row>
    <row r="242" spans="11:12" ht="14.25" customHeight="1" x14ac:dyDescent="0.35">
      <c r="K242" s="25">
        <v>201</v>
      </c>
      <c r="L242" s="25" t="s">
        <v>411</v>
      </c>
    </row>
    <row r="243" spans="11:12" ht="14.25" customHeight="1" x14ac:dyDescent="0.35">
      <c r="K243" s="25">
        <v>202</v>
      </c>
      <c r="L243" s="25" t="s">
        <v>412</v>
      </c>
    </row>
    <row r="244" spans="11:12" ht="14.25" customHeight="1" x14ac:dyDescent="0.35">
      <c r="K244" s="25">
        <v>204</v>
      </c>
      <c r="L244" s="25" t="s">
        <v>413</v>
      </c>
    </row>
    <row r="245" spans="11:12" ht="14.25" customHeight="1" x14ac:dyDescent="0.35">
      <c r="K245" s="25">
        <v>290</v>
      </c>
      <c r="L245" s="25" t="s">
        <v>414</v>
      </c>
    </row>
    <row r="246" spans="11:12" ht="14.25" customHeight="1" x14ac:dyDescent="0.35">
      <c r="K246" s="25">
        <v>214</v>
      </c>
      <c r="L246" s="25" t="s">
        <v>415</v>
      </c>
    </row>
    <row r="247" spans="11:12" ht="14.25" customHeight="1" x14ac:dyDescent="0.35">
      <c r="K247" s="25">
        <v>71</v>
      </c>
      <c r="L247" s="25" t="s">
        <v>416</v>
      </c>
    </row>
    <row r="248" spans="11:12" ht="14.25" customHeight="1" x14ac:dyDescent="0.35">
      <c r="K248" s="25">
        <v>246</v>
      </c>
      <c r="L248" s="25" t="s">
        <v>417</v>
      </c>
    </row>
    <row r="249" spans="11:12" ht="14.25" customHeight="1" x14ac:dyDescent="0.35">
      <c r="K249" s="25">
        <v>218</v>
      </c>
      <c r="L249" s="25" t="s">
        <v>418</v>
      </c>
    </row>
    <row r="250" spans="11:12" ht="14.25" customHeight="1" x14ac:dyDescent="0.35">
      <c r="K250" s="25">
        <v>54</v>
      </c>
      <c r="L250" s="25" t="s">
        <v>419</v>
      </c>
    </row>
    <row r="251" spans="11:12" ht="14.25" customHeight="1" x14ac:dyDescent="0.35">
      <c r="K251" s="25">
        <v>200</v>
      </c>
      <c r="L251" s="25" t="s">
        <v>420</v>
      </c>
    </row>
    <row r="252" spans="11:12" ht="14.25" customHeight="1" x14ac:dyDescent="0.35">
      <c r="K252" s="25">
        <v>208</v>
      </c>
      <c r="L252" s="25" t="s">
        <v>421</v>
      </c>
    </row>
    <row r="253" spans="11:12" ht="14.25" customHeight="1" x14ac:dyDescent="0.35">
      <c r="K253" s="25">
        <v>2</v>
      </c>
      <c r="L253" s="25" t="s">
        <v>422</v>
      </c>
    </row>
    <row r="254" spans="11:12" ht="14.25" customHeight="1" x14ac:dyDescent="0.35">
      <c r="K254" s="25">
        <v>209</v>
      </c>
      <c r="L254" s="25" t="s">
        <v>423</v>
      </c>
    </row>
    <row r="255" spans="11:12" ht="14.25" customHeight="1" x14ac:dyDescent="0.35">
      <c r="K255" s="25">
        <v>41</v>
      </c>
      <c r="L255" s="25" t="s">
        <v>424</v>
      </c>
    </row>
    <row r="256" spans="11:12" ht="14.25" customHeight="1" x14ac:dyDescent="0.35">
      <c r="K256" s="25">
        <v>97</v>
      </c>
      <c r="L256" s="25" t="s">
        <v>425</v>
      </c>
    </row>
    <row r="257" spans="11:12" ht="14.25" customHeight="1" x14ac:dyDescent="0.35">
      <c r="K257" s="25">
        <v>39</v>
      </c>
      <c r="L257" s="25" t="s">
        <v>426</v>
      </c>
    </row>
    <row r="258" spans="11:12" ht="14.25" customHeight="1" x14ac:dyDescent="0.35">
      <c r="K258" s="25">
        <v>184</v>
      </c>
      <c r="L258" s="25" t="s">
        <v>427</v>
      </c>
    </row>
    <row r="259" spans="11:12" ht="14.25" customHeight="1" x14ac:dyDescent="0.35">
      <c r="K259" s="25">
        <v>243</v>
      </c>
      <c r="L259" s="25" t="s">
        <v>428</v>
      </c>
    </row>
    <row r="260" spans="11:12" ht="14.25" customHeight="1" x14ac:dyDescent="0.35">
      <c r="K260" s="25">
        <v>25</v>
      </c>
      <c r="L260" s="25" t="s">
        <v>429</v>
      </c>
    </row>
    <row r="261" spans="11:12" ht="14.25" customHeight="1" x14ac:dyDescent="0.35">
      <c r="K261" s="25">
        <v>302</v>
      </c>
      <c r="L261" s="25" t="s">
        <v>430</v>
      </c>
    </row>
    <row r="262" spans="11:12" ht="14.25" customHeight="1" x14ac:dyDescent="0.35">
      <c r="K262" s="25">
        <v>293</v>
      </c>
      <c r="L262" s="25" t="s">
        <v>431</v>
      </c>
    </row>
    <row r="263" spans="11:12" ht="14.25" customHeight="1" x14ac:dyDescent="0.35">
      <c r="K263" s="25">
        <v>298</v>
      </c>
      <c r="L263" s="25" t="s">
        <v>432</v>
      </c>
    </row>
    <row r="264" spans="11:12" ht="14.25" customHeight="1" x14ac:dyDescent="0.35">
      <c r="K264" s="25">
        <v>300</v>
      </c>
      <c r="L264" s="25" t="s">
        <v>433</v>
      </c>
    </row>
    <row r="265" spans="11:12" ht="14.25" customHeight="1" x14ac:dyDescent="0.35">
      <c r="K265" s="25">
        <v>296</v>
      </c>
      <c r="L265" s="25" t="s">
        <v>434</v>
      </c>
    </row>
    <row r="266" spans="11:12" ht="14.25" customHeight="1" x14ac:dyDescent="0.35">
      <c r="K266" s="25">
        <v>294</v>
      </c>
      <c r="L266" s="25" t="s">
        <v>435</v>
      </c>
    </row>
    <row r="267" spans="11:12" ht="14.25" customHeight="1" x14ac:dyDescent="0.35">
      <c r="K267" s="25">
        <v>295</v>
      </c>
      <c r="L267" s="25" t="s">
        <v>436</v>
      </c>
    </row>
    <row r="268" spans="11:12" ht="14.25" customHeight="1" x14ac:dyDescent="0.35">
      <c r="K268" s="25">
        <v>299</v>
      </c>
      <c r="L268" s="25" t="s">
        <v>437</v>
      </c>
    </row>
    <row r="269" spans="11:12" ht="14.25" customHeight="1" x14ac:dyDescent="0.35">
      <c r="K269" s="25">
        <v>297</v>
      </c>
      <c r="L269" s="25" t="s">
        <v>438</v>
      </c>
    </row>
    <row r="270" spans="11:12" ht="14.25" customHeight="1" x14ac:dyDescent="0.35">
      <c r="K270" s="25">
        <v>301</v>
      </c>
      <c r="L270" s="25" t="s">
        <v>439</v>
      </c>
    </row>
    <row r="271" spans="11:12" ht="14.25" customHeight="1" x14ac:dyDescent="0.35">
      <c r="K271" s="25">
        <v>263</v>
      </c>
      <c r="L271" s="25" t="s">
        <v>440</v>
      </c>
    </row>
    <row r="272" spans="11:12" ht="14.25" customHeight="1" x14ac:dyDescent="0.35">
      <c r="K272" s="25">
        <v>206</v>
      </c>
      <c r="L272" s="25" t="s">
        <v>441</v>
      </c>
    </row>
    <row r="273" spans="11:12" ht="14.25" customHeight="1" x14ac:dyDescent="0.35">
      <c r="K273" s="25">
        <v>188</v>
      </c>
      <c r="L273" s="25" t="s">
        <v>442</v>
      </c>
    </row>
    <row r="274" spans="11:12" ht="14.25" customHeight="1" x14ac:dyDescent="0.35">
      <c r="K274" s="25">
        <v>69</v>
      </c>
      <c r="L274" s="25" t="s">
        <v>443</v>
      </c>
    </row>
    <row r="275" spans="11:12" ht="14.25" customHeight="1" x14ac:dyDescent="0.35">
      <c r="K275" s="25">
        <v>95</v>
      </c>
      <c r="L275" s="25" t="s">
        <v>444</v>
      </c>
    </row>
    <row r="276" spans="11:12" ht="14.25" customHeight="1" x14ac:dyDescent="0.35"/>
    <row r="277" spans="11:12" ht="14.25" customHeight="1" x14ac:dyDescent="0.35"/>
    <row r="278" spans="11:12" ht="14.25" customHeight="1" x14ac:dyDescent="0.35"/>
    <row r="279" spans="11:12" ht="14.25" customHeight="1" x14ac:dyDescent="0.35"/>
    <row r="280" spans="11:12" ht="14.25" customHeight="1" x14ac:dyDescent="0.35"/>
    <row r="281" spans="11:12" ht="14.25" customHeight="1" x14ac:dyDescent="0.35"/>
    <row r="282" spans="11:12" ht="14.25" customHeight="1" x14ac:dyDescent="0.35"/>
    <row r="283" spans="11:12" ht="14.25" customHeight="1" x14ac:dyDescent="0.35"/>
    <row r="284" spans="11:12" ht="14.25" customHeight="1" x14ac:dyDescent="0.35"/>
    <row r="285" spans="11:12" ht="14.25" customHeight="1" x14ac:dyDescent="0.35"/>
    <row r="286" spans="11:12" ht="14.25" customHeight="1" x14ac:dyDescent="0.35"/>
    <row r="287" spans="11:12" ht="14.25" customHeight="1" x14ac:dyDescent="0.35"/>
    <row r="288" spans="11:12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 del suelo</vt:lpstr>
      <vt:lpstr>Options_DO_NOT_EDIT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BiomeMakers</dc:creator>
  <cp:keywords/>
  <dc:description/>
  <cp:lastModifiedBy>Salgado, Ana Maria (Alliance Bioversity-CIAT)</cp:lastModifiedBy>
  <cp:revision/>
  <dcterms:created xsi:type="dcterms:W3CDTF">2025-07-22T10:39:57Z</dcterms:created>
  <dcterms:modified xsi:type="dcterms:W3CDTF">2026-05-22T18:13:15Z</dcterms:modified>
  <cp:category/>
  <cp:contentStatus/>
</cp:coreProperties>
</file>