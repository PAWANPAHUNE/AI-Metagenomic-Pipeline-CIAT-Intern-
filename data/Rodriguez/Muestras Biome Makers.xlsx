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michael_rodriguez_cgiar_org/Documents/Documents/Green Campus/Biome Makers/"/>
    </mc:Choice>
  </mc:AlternateContent>
  <xr:revisionPtr revIDLastSave="156" documentId="13_ncr:1_{D5595359-1051-4878-9380-E44AA4437284}" xr6:coauthVersionLast="47" xr6:coauthVersionMax="47" xr10:uidLastSave="{F8374E5F-C787-56AB-B5EE-03DBBBDFCD42}"/>
  <bookViews>
    <workbookView minimized="1" xWindow="64485" yWindow="5940" windowWidth="21600" windowHeight="11175" xr2:uid="{4E1ECCD8-E863-4BE7-9536-770D99FC262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1" l="1"/>
  <c r="L78" i="1"/>
  <c r="L72" i="1"/>
  <c r="L58" i="1"/>
  <c r="L57" i="1"/>
  <c r="L42" i="1"/>
  <c r="L41" i="1"/>
  <c r="L40" i="1"/>
  <c r="L38" i="1"/>
  <c r="L35" i="1"/>
  <c r="L31" i="1"/>
  <c r="L28" i="1"/>
  <c r="L26" i="1"/>
  <c r="L24" i="1"/>
  <c r="L17" i="1"/>
  <c r="L67" i="1"/>
  <c r="L60" i="1"/>
  <c r="L75" i="1"/>
  <c r="L34" i="1"/>
  <c r="L27" i="1"/>
  <c r="L82" i="1"/>
  <c r="L77" i="1"/>
  <c r="L76" i="1"/>
  <c r="L69" i="1"/>
  <c r="L66" i="1"/>
  <c r="L65" i="1"/>
  <c r="L55" i="1"/>
  <c r="L47" i="1"/>
  <c r="L46" i="1"/>
  <c r="L44" i="1"/>
  <c r="L32" i="1"/>
  <c r="L21" i="1"/>
  <c r="L20" i="1"/>
  <c r="L14" i="1"/>
  <c r="L12" i="1"/>
  <c r="L73" i="1"/>
  <c r="L29" i="1"/>
  <c r="L11" i="1"/>
  <c r="L13" i="1"/>
  <c r="L15" i="1"/>
  <c r="L16" i="1"/>
  <c r="L18" i="1"/>
  <c r="L19" i="1"/>
  <c r="L22" i="1"/>
  <c r="L23" i="1"/>
  <c r="L25" i="1"/>
  <c r="L30" i="1"/>
  <c r="L33" i="1"/>
  <c r="L36" i="1"/>
  <c r="L37" i="1"/>
  <c r="L39" i="1"/>
  <c r="L43" i="1"/>
  <c r="L45" i="1"/>
  <c r="L48" i="1"/>
  <c r="L49" i="1"/>
  <c r="L50" i="1"/>
  <c r="L51" i="1"/>
  <c r="L52" i="1"/>
  <c r="L53" i="1"/>
  <c r="L54" i="1"/>
  <c r="L56" i="1"/>
  <c r="L59" i="1"/>
  <c r="L61" i="1"/>
  <c r="L62" i="1"/>
  <c r="L63" i="1"/>
  <c r="L64" i="1"/>
  <c r="L68" i="1"/>
  <c r="L70" i="1"/>
  <c r="L71" i="1"/>
  <c r="L74" i="1"/>
  <c r="L80" i="1"/>
  <c r="L81" i="1"/>
</calcChain>
</file>

<file path=xl/sharedStrings.xml><?xml version="1.0" encoding="utf-8"?>
<sst xmlns="http://schemas.openxmlformats.org/spreadsheetml/2006/main" count="1027" uniqueCount="412">
  <si>
    <t>Hoja de registro de muestras</t>
  </si>
  <si>
    <t>Cliente</t>
  </si>
  <si>
    <t>Cultivo</t>
  </si>
  <si>
    <t>Registrado por</t>
  </si>
  <si>
    <t>Nombre</t>
  </si>
  <si>
    <t>Michael Rodriguez</t>
  </si>
  <si>
    <t>Email</t>
  </si>
  <si>
    <t>michael.rodriguez@cgiar.org</t>
  </si>
  <si>
    <t>Crear cuenta online</t>
  </si>
  <si>
    <t>No</t>
  </si>
  <si>
    <t>Información básica de muestra</t>
  </si>
  <si>
    <t>Localización</t>
  </si>
  <si>
    <t>Esquema de bloque</t>
  </si>
  <si>
    <t>Tratamientos</t>
  </si>
  <si>
    <t>Otros</t>
  </si>
  <si>
    <t>Coordenadas</t>
  </si>
  <si>
    <t>Producto #1</t>
  </si>
  <si>
    <t>Producto #2</t>
  </si>
  <si>
    <t>Producto #3</t>
  </si>
  <si>
    <t>Código</t>
  </si>
  <si>
    <t>Nombre de muestra</t>
  </si>
  <si>
    <t>Nombre de parcela</t>
  </si>
  <si>
    <t>Ciudad</t>
  </si>
  <si>
    <t>País</t>
  </si>
  <si>
    <t>Grados Minutos Segundos (DMS) 
o Grados Decimales (DD)</t>
  </si>
  <si>
    <t>Variedad</t>
  </si>
  <si>
    <t>Densidad
(plantas/hectarea)</t>
  </si>
  <si>
    <t>Densidad
(plantas/acre)</t>
  </si>
  <si>
    <t>Density DB (plants/hectare)</t>
  </si>
  <si>
    <t>Año
plantación</t>
  </si>
  <si>
    <t>Cultivo del
año previo</t>
  </si>
  <si>
    <t>Uso de
irrigación</t>
  </si>
  <si>
    <t>Tipo de
irrigación</t>
  </si>
  <si>
    <t>Tipo de suelo</t>
  </si>
  <si>
    <t>Prácticas
orgánicas</t>
  </si>
  <si>
    <t>Métodos
biodinámicos</t>
  </si>
  <si>
    <t>Tipo</t>
  </si>
  <si>
    <t>Fecha de
aplicación</t>
  </si>
  <si>
    <t>Dosis</t>
  </si>
  <si>
    <t>Comentarios</t>
  </si>
  <si>
    <t>AZM03Y</t>
  </si>
  <si>
    <t>H3-N 2 Rice</t>
  </si>
  <si>
    <t>H3-N</t>
  </si>
  <si>
    <t>Palmira</t>
  </si>
  <si>
    <t>Colombia</t>
  </si>
  <si>
    <t>3.4972838565934, -76.3605656321979</t>
  </si>
  <si>
    <t>AZM03Z</t>
  </si>
  <si>
    <t>E1 2 Beans</t>
  </si>
  <si>
    <t>E1</t>
  </si>
  <si>
    <t>3.50039137138112, -76.3716758212893</t>
  </si>
  <si>
    <t>AZM040</t>
  </si>
  <si>
    <t>P3 5 Forrajes</t>
  </si>
  <si>
    <t>P3</t>
  </si>
  <si>
    <t>3.50112, -76.34468833</t>
  </si>
  <si>
    <t>AZM041</t>
  </si>
  <si>
    <t>L1-N 1 Beans</t>
  </si>
  <si>
    <t>L1-N</t>
  </si>
  <si>
    <t>3.50504586625444, -76.3561248808907</t>
  </si>
  <si>
    <t>AZM042</t>
  </si>
  <si>
    <t>I1-S 3 Rice</t>
  </si>
  <si>
    <t>I1-S</t>
  </si>
  <si>
    <t>3.50207088147809, -76.3607243952992</t>
  </si>
  <si>
    <t>AZM043</t>
  </si>
  <si>
    <t>P3 2 Forrajes</t>
  </si>
  <si>
    <t>3.501091667, -76.346795</t>
  </si>
  <si>
    <t>AZM044</t>
  </si>
  <si>
    <t>N1-N 1 Cassava</t>
  </si>
  <si>
    <t>N1-N</t>
  </si>
  <si>
    <t>3.50609175111657, -76.3539137431592</t>
  </si>
  <si>
    <t>AZM045</t>
  </si>
  <si>
    <t>N3</t>
  </si>
  <si>
    <t>3.500611667, -76.35005333</t>
  </si>
  <si>
    <t>AZM046</t>
  </si>
  <si>
    <t>M3-N 2 Rice</t>
  </si>
  <si>
    <t>M3-N</t>
  </si>
  <si>
    <t>3.50068209654776, -76.3535613128735</t>
  </si>
  <si>
    <t>AZM047</t>
  </si>
  <si>
    <t>O1-N 1 Beans</t>
  </si>
  <si>
    <t>O1-N</t>
  </si>
  <si>
    <t>3.5075848163281, -76.3501491292411</t>
  </si>
  <si>
    <t>AZM048</t>
  </si>
  <si>
    <t>H3 3 Beans</t>
  </si>
  <si>
    <t>H3</t>
  </si>
  <si>
    <t>3.49616950317847, -76.3616077510243</t>
  </si>
  <si>
    <t>AZM049</t>
  </si>
  <si>
    <t>N1-N 4 Forrajes</t>
  </si>
  <si>
    <t>3.506775, -76.35198333</t>
  </si>
  <si>
    <t>AZM04A</t>
  </si>
  <si>
    <t>3.500478333, -76.35044667</t>
  </si>
  <si>
    <t>AZM04B</t>
  </si>
  <si>
    <t>S1-N 2 Cassava</t>
  </si>
  <si>
    <t>S1-N</t>
  </si>
  <si>
    <t>3.51033953228437, -76.3411183137253</t>
  </si>
  <si>
    <t>AZM04C</t>
  </si>
  <si>
    <t>P1-N 1 Michael Clitoria</t>
  </si>
  <si>
    <t>P1-N</t>
  </si>
  <si>
    <t>Clitoria</t>
  </si>
  <si>
    <t>3.50816834067331, -76.3480635119791</t>
  </si>
  <si>
    <t>9336 &amp; 17768</t>
  </si>
  <si>
    <t>Crotalaria</t>
  </si>
  <si>
    <t>Regular</t>
  </si>
  <si>
    <t>Aspersor</t>
  </si>
  <si>
    <t>Franco-arcilloso</t>
  </si>
  <si>
    <t>Si</t>
  </si>
  <si>
    <t>Fertilizante sintético</t>
  </si>
  <si>
    <t>AZM04D</t>
  </si>
  <si>
    <t>3.50870225911688, -76.3412731965025</t>
  </si>
  <si>
    <t>AZM04E</t>
  </si>
  <si>
    <t>I2-N 1 FLAR</t>
  </si>
  <si>
    <t>I2-N</t>
  </si>
  <si>
    <t>3.50096821722484, -76.3604730203889</t>
  </si>
  <si>
    <t>AZM04F</t>
  </si>
  <si>
    <t>3.5098827825477, -76.3417237645816</t>
  </si>
  <si>
    <t>AZM04G</t>
  </si>
  <si>
    <t>Q2-S 1 Caña</t>
  </si>
  <si>
    <t>Q2-S</t>
  </si>
  <si>
    <t>Caña de azúcar</t>
  </si>
  <si>
    <t>3.50488341103772, -76.3438535611284</t>
  </si>
  <si>
    <t>AZM04H</t>
  </si>
  <si>
    <t>3.50068, -76.350005</t>
  </si>
  <si>
    <t>AZM04I</t>
  </si>
  <si>
    <t>3.4992931530239, -76.3507351261637</t>
  </si>
  <si>
    <t>AZM04J</t>
  </si>
  <si>
    <t>O1-S 3 Beans</t>
  </si>
  <si>
    <t>O1-S</t>
  </si>
  <si>
    <t>3.50537160801707, -76.3507139283471</t>
  </si>
  <si>
    <t>AZM04K</t>
  </si>
  <si>
    <t>O4 2 Forrajes</t>
  </si>
  <si>
    <t>O4</t>
  </si>
  <si>
    <t>3.49866999995315, -76.34707</t>
  </si>
  <si>
    <t>AZM04L</t>
  </si>
  <si>
    <t>H2-N 1 FLAR</t>
  </si>
  <si>
    <t>H2-N</t>
  </si>
  <si>
    <t>3.50019349026636, -76.362951488804</t>
  </si>
  <si>
    <t>AZM04M</t>
  </si>
  <si>
    <t>O3-S 1 Cassava</t>
  </si>
  <si>
    <t>O3-S</t>
  </si>
  <si>
    <t>3.50014341967233, -76.349133497445</t>
  </si>
  <si>
    <t>AZM04N</t>
  </si>
  <si>
    <t>N1-N 5 Forrajes</t>
  </si>
  <si>
    <t>3.50671998442355, -76.3519499483469</t>
  </si>
  <si>
    <t>AZM04O</t>
  </si>
  <si>
    <t>H1-S 3 Rice</t>
  </si>
  <si>
    <t>H1-S</t>
  </si>
  <si>
    <t>3.50242523039354, -76.3617387151133</t>
  </si>
  <si>
    <t>AZM04P</t>
  </si>
  <si>
    <t>N1-N 2 Cassava</t>
  </si>
  <si>
    <t>3.50660823174352, -76.3532026904094</t>
  </si>
  <si>
    <t>AZM04Q</t>
  </si>
  <si>
    <t>3.50068, -76.35018833</t>
  </si>
  <si>
    <t>AZM04R</t>
  </si>
  <si>
    <t>P2-N 1 Cassava</t>
  </si>
  <si>
    <t>P2-N</t>
  </si>
  <si>
    <t>3.5055506758681, -76.3471446617834</t>
  </si>
  <si>
    <t>AZM04S</t>
  </si>
  <si>
    <t>S1-N 1 Cassava</t>
  </si>
  <si>
    <t>3.51068385116898, -76.3398581311291</t>
  </si>
  <si>
    <t>AZM04T</t>
  </si>
  <si>
    <t>P2-S 1 Cassava</t>
  </si>
  <si>
    <t>P2-S</t>
  </si>
  <si>
    <t>3.50399771789719, -76.3460745625955</t>
  </si>
  <si>
    <t>AZM04U</t>
  </si>
  <si>
    <t>N1-N 1 Forrajes</t>
  </si>
  <si>
    <t>AZM04V</t>
  </si>
  <si>
    <t>H3 1 Beans</t>
  </si>
  <si>
    <t>3.4977329653161, -76.3621404252499</t>
  </si>
  <si>
    <t>AZM04W</t>
  </si>
  <si>
    <t>N1-N 3 Forrajes</t>
  </si>
  <si>
    <t>3.506308333, -76.35224167</t>
  </si>
  <si>
    <t>AZM04X</t>
  </si>
  <si>
    <t>O1-N 2 Beans</t>
  </si>
  <si>
    <t>3.50667656638143, -76.3506407136482</t>
  </si>
  <si>
    <t>AZM04Y</t>
  </si>
  <si>
    <t>K1-S 1 Beans</t>
  </si>
  <si>
    <t>K1-S</t>
  </si>
  <si>
    <t>3.50416060502619, -76.3569476369981</t>
  </si>
  <si>
    <t>AZM04Z</t>
  </si>
  <si>
    <t>P3 3 Forrajes</t>
  </si>
  <si>
    <t>3.501061667, -76.34593833</t>
  </si>
  <si>
    <t>AZM050</t>
  </si>
  <si>
    <t>I1-S 1 Rice</t>
  </si>
  <si>
    <t>3.50321536196423, -76.3593704988518</t>
  </si>
  <si>
    <t>AZM051</t>
  </si>
  <si>
    <t>P3 1 Forrajes</t>
  </si>
  <si>
    <t>3.500821667, -76.34642833</t>
  </si>
  <si>
    <t>AZM052</t>
  </si>
  <si>
    <t>P3 6 Forrajes</t>
  </si>
  <si>
    <t>3.501696667, -76.344925</t>
  </si>
  <si>
    <t>AZM053</t>
  </si>
  <si>
    <t>N1-N 2 Forrajes</t>
  </si>
  <si>
    <t>3.506119444, -76.35253833</t>
  </si>
  <si>
    <t>AZM054</t>
  </si>
  <si>
    <t>M3-N 1 Rice</t>
  </si>
  <si>
    <t>3.50079489413281, -76.3536065162565</t>
  </si>
  <si>
    <t>AZM055</t>
  </si>
  <si>
    <t>O4 1 Forrajes</t>
  </si>
  <si>
    <t>3.498519444, -76.34735833</t>
  </si>
  <si>
    <t>AZM056</t>
  </si>
  <si>
    <t>O2- S 3 Beans</t>
  </si>
  <si>
    <t>O2-S</t>
  </si>
  <si>
    <t>3.50371169834687, -76.3484338134378</t>
  </si>
  <si>
    <t>AZM057</t>
  </si>
  <si>
    <t>M4-S 1 Michael Maiz</t>
  </si>
  <si>
    <t>M4-S</t>
  </si>
  <si>
    <t>Maíz</t>
  </si>
  <si>
    <t>3.49510617175025, -76.3519481078171</t>
  </si>
  <si>
    <t>Hibrido</t>
  </si>
  <si>
    <t>Arroz</t>
  </si>
  <si>
    <t>Otro</t>
  </si>
  <si>
    <t>Arcilloso</t>
  </si>
  <si>
    <t>KCl</t>
  </si>
  <si>
    <t>150kg/ha</t>
  </si>
  <si>
    <t>Agrimins</t>
  </si>
  <si>
    <t>50kg/ha</t>
  </si>
  <si>
    <t>Herbicida</t>
  </si>
  <si>
    <t>Linuron, Glifosato y glufosinato de amonio</t>
  </si>
  <si>
    <t>2Kg, 2.5L y 2L por Ha</t>
  </si>
  <si>
    <t>AZM058</t>
  </si>
  <si>
    <t>D1-S 1 Cassava</t>
  </si>
  <si>
    <t>D1-S</t>
  </si>
  <si>
    <t>3.49780694128548, -76.3737809793973</t>
  </si>
  <si>
    <t>AZM059</t>
  </si>
  <si>
    <t>F3 1 Cassava</t>
  </si>
  <si>
    <t>F3</t>
  </si>
  <si>
    <t>3.49672478090113, -76.365808036435</t>
  </si>
  <si>
    <t>AZM05A</t>
  </si>
  <si>
    <t>N1-N 6 Forrajes</t>
  </si>
  <si>
    <t>3.507111111, -76.35223333</t>
  </si>
  <si>
    <t>AZM05B</t>
  </si>
  <si>
    <t>S1-S 1 CIMMYT</t>
  </si>
  <si>
    <t>S1-S</t>
  </si>
  <si>
    <t>3.50925211619806, -76.3403280595554</t>
  </si>
  <si>
    <t>AZM05C</t>
  </si>
  <si>
    <t>3.500625, -76.350395</t>
  </si>
  <si>
    <t>AZM05D</t>
  </si>
  <si>
    <t>I1-S 2 Rice</t>
  </si>
  <si>
    <t>3.50233059063422, -76.3599349898788</t>
  </si>
  <si>
    <t>AZM05E</t>
  </si>
  <si>
    <t>N1-N 7 Forrajes</t>
  </si>
  <si>
    <t>3.50085, -76.34572</t>
  </si>
  <si>
    <t>AZM05F</t>
  </si>
  <si>
    <t>H1-S 2 Rice</t>
  </si>
  <si>
    <t>3.50161969167114, -76.3622238245895</t>
  </si>
  <si>
    <t>AZM05G</t>
  </si>
  <si>
    <t>E1 1 Beans</t>
  </si>
  <si>
    <t>3.50138629765162, -76.3703309507196</t>
  </si>
  <si>
    <t>AZM05H</t>
  </si>
  <si>
    <t>O2-S 2 Beans</t>
  </si>
  <si>
    <t>3.50271992701289, -76.3498876481735</t>
  </si>
  <si>
    <t>AZM05I</t>
  </si>
  <si>
    <t>S1-S 2 CIMMYT</t>
  </si>
  <si>
    <t>3.509628056636, -76.3390432365173</t>
  </si>
  <si>
    <t>AZM05J</t>
  </si>
  <si>
    <t>L1-S 2 Rice</t>
  </si>
  <si>
    <t>L1-S</t>
  </si>
  <si>
    <t>3.50394166616226, -76.3555712096354</t>
  </si>
  <si>
    <t>AZM05K</t>
  </si>
  <si>
    <t>R2 2 Beans</t>
  </si>
  <si>
    <t>R2</t>
  </si>
  <si>
    <t>3.50613370392305, -76.3409188475557</t>
  </si>
  <si>
    <t>AZM05L</t>
  </si>
  <si>
    <t>H1-S 1 Rice</t>
  </si>
  <si>
    <t>3.50122352483212, -76.3634630587971</t>
  </si>
  <si>
    <t>AZM05M</t>
  </si>
  <si>
    <t>P3 4 Forrajes</t>
  </si>
  <si>
    <t>3.507061111, -76.352225</t>
  </si>
  <si>
    <t>AZM05N</t>
  </si>
  <si>
    <t>D1-S 2 Cassava</t>
  </si>
  <si>
    <t>3.49866774978999, -76.3740696245729</t>
  </si>
  <si>
    <t>AZM05O</t>
  </si>
  <si>
    <t>F2 1 Caña</t>
  </si>
  <si>
    <t>F2</t>
  </si>
  <si>
    <t>3.4981350837787, -76.367261245391</t>
  </si>
  <si>
    <t>AZM05P</t>
  </si>
  <si>
    <t>L1-S 1 Rice</t>
  </si>
  <si>
    <t>3.50428721068888, -76.3556638214445</t>
  </si>
  <si>
    <t>AZM05Q</t>
  </si>
  <si>
    <t>H2-N 2 FLAR</t>
  </si>
  <si>
    <t>3.50057645196797, -76.3616946142518</t>
  </si>
  <si>
    <t>AZM05R</t>
  </si>
  <si>
    <t>O2-N 1 Beans</t>
  </si>
  <si>
    <t>O2-N</t>
  </si>
  <si>
    <t>3.50439027812768, -76.3484861096513</t>
  </si>
  <si>
    <t>AZM05S</t>
  </si>
  <si>
    <t>H3 2 Beans</t>
  </si>
  <si>
    <t>3.49701177266746, -76.3621298772454</t>
  </si>
  <si>
    <t>AZM05T</t>
  </si>
  <si>
    <t>P1-S 1 Cassava</t>
  </si>
  <si>
    <t>P1-S</t>
  </si>
  <si>
    <t>3.50609175111657, -76.3481091590777</t>
  </si>
  <si>
    <t>AZM05U</t>
  </si>
  <si>
    <t>I2-S 1 Cassava</t>
  </si>
  <si>
    <t>I2-S</t>
  </si>
  <si>
    <t>3.49922639651883, -76.3602551368664</t>
  </si>
  <si>
    <t>AZM05V</t>
  </si>
  <si>
    <t>H3-N 1 Rice</t>
  </si>
  <si>
    <t>3.49776806252105, -76.3607508558161</t>
  </si>
  <si>
    <t>AZM05W</t>
  </si>
  <si>
    <t>H3-Bajo 1 Rice</t>
  </si>
  <si>
    <t>H3-Bajo</t>
  </si>
  <si>
    <t>3.49649151908147, -76.3603010270291</t>
  </si>
  <si>
    <t>AZM05X</t>
  </si>
  <si>
    <t>R2 1 Beans</t>
  </si>
  <si>
    <t>3.50515237483321, -76.3420955123598</t>
  </si>
  <si>
    <t>Centro Internacional de Agricultura Tropical (CIAT)</t>
  </si>
  <si>
    <t>Fecha de 
recolección</t>
  </si>
  <si>
    <t>DAP</t>
  </si>
  <si>
    <t>150 Kg/Ha</t>
  </si>
  <si>
    <t>100 Kg/Ha</t>
  </si>
  <si>
    <t>50 Kg/Ha</t>
  </si>
  <si>
    <t>3.5061807 -76.3526031</t>
  </si>
  <si>
    <t>Brachiaria brizantha CIAT 26110 + Leucaena diversifolia</t>
  </si>
  <si>
    <t>Urochloa humidicola cv. Tully (CIAT 679)</t>
  </si>
  <si>
    <t xml:space="preserve">Suelo desnudo </t>
  </si>
  <si>
    <t>Urochloa humidicola cv. Tully (CIAT 679) + Canavalia</t>
  </si>
  <si>
    <t>Maíz biofortificado (SGBIOH2)</t>
  </si>
  <si>
    <t>CC011940</t>
  </si>
  <si>
    <t>Superficie</t>
  </si>
  <si>
    <t>NPK</t>
  </si>
  <si>
    <t>12 bultos/Ha</t>
  </si>
  <si>
    <t>Diuron, Ametrina y Tordon</t>
  </si>
  <si>
    <t>3, 2 y 2 L/Ha</t>
  </si>
  <si>
    <t>12 Bultos/Ha</t>
  </si>
  <si>
    <t>Mezcla</t>
  </si>
  <si>
    <t>Brachiaria brizantha CIAT 26110</t>
  </si>
  <si>
    <t>Mas de 100</t>
  </si>
  <si>
    <t>Frijol</t>
  </si>
  <si>
    <t xml:space="preserve">Kelatex Boro, Mg, Zintrac, Cabtrac, 18-45-0 </t>
  </si>
  <si>
    <t xml:space="preserve">200cc, 400gr, 140cc, 200cc, 300gr </t>
  </si>
  <si>
    <t xml:space="preserve">Kelatex Boro, Mg, Zintrac, Cabtrac, 0-32-43 </t>
  </si>
  <si>
    <t xml:space="preserve">200cc, 400gr, 140cc, 200cc, 400gr </t>
  </si>
  <si>
    <t>Forrajes</t>
  </si>
  <si>
    <t>Suelo Desnudo</t>
  </si>
  <si>
    <t xml:space="preserve">Boro, Kelatex Mg y Zinc, Cabtrac, 18-45-0 </t>
  </si>
  <si>
    <t xml:space="preserve">200gr, 400gr, 400gr, 200cc, 200gr </t>
  </si>
  <si>
    <t xml:space="preserve">Boro, Kelatex Mg y Zinc, Cabtrac, 0-32-43 </t>
  </si>
  <si>
    <t xml:space="preserve">200gr, 400gr, 400gr, 200cc, 400gr </t>
  </si>
  <si>
    <t xml:space="preserve">Boro, Kelatex Mg y Zinc, Fulviplex, 0-32-43 </t>
  </si>
  <si>
    <t xml:space="preserve">200gr, 400gr, 400gr, 800gr, 400gr </t>
  </si>
  <si>
    <t>9336</t>
  </si>
  <si>
    <t xml:space="preserve">Crotalaria </t>
  </si>
  <si>
    <t>Más de 100</t>
  </si>
  <si>
    <t xml:space="preserve">Bortrac, Kelatex Mg, Zintrac, Cabtrac, 18-45-0 </t>
  </si>
  <si>
    <t xml:space="preserve">200cc, 200gr, 140cc, 200cc, 200gr </t>
  </si>
  <si>
    <t>Bortrac, Kelatex Mg, Zintrac, Cabtrac, 0-32-43</t>
  </si>
  <si>
    <t xml:space="preserve">200cc, 200gr, 140cc, 200cc, 400gr </t>
  </si>
  <si>
    <t>frijol</t>
  </si>
  <si>
    <t xml:space="preserve">Kelatex Boro, Mg, Zintrac, Cabtrac, 0-39-52 </t>
  </si>
  <si>
    <t>Mejoramiento</t>
  </si>
  <si>
    <t>Raramente</t>
  </si>
  <si>
    <t>Otras practicas</t>
  </si>
  <si>
    <t>Crotalaria Juncea</t>
  </si>
  <si>
    <t>Semi-regular</t>
  </si>
  <si>
    <t>Urea, KCl y menores</t>
  </si>
  <si>
    <t>Diferente Hibridos Experimentales(500)</t>
  </si>
  <si>
    <t>KCL</t>
  </si>
  <si>
    <t>100Kg/ha</t>
  </si>
  <si>
    <t>150Kg/ha</t>
  </si>
  <si>
    <t>40Kg/ha</t>
  </si>
  <si>
    <t>Se aplico Urea 350Kg, Pendimetalina 3 L/ha y Linuron 1.5Kg/h.a</t>
  </si>
  <si>
    <t>Yuca, Mandioca, Tapioca</t>
  </si>
  <si>
    <t>Multiples variedades</t>
  </si>
  <si>
    <t>Descanso</t>
  </si>
  <si>
    <t>10-30-10, Sulfato de Hierro, Sulfato de Manganeso, Sulfato Zinc</t>
  </si>
  <si>
    <t>200,10,10,13</t>
  </si>
  <si>
    <t>Aspersor-Superficie</t>
  </si>
  <si>
    <t>Franco</t>
  </si>
  <si>
    <t>15-15-15, Sulfato de amonio, DAP, Sulfato de zinc, Sulfato de hierro, Sulfato de manganeso</t>
  </si>
  <si>
    <t>200,100, 30, 3, 3, 3</t>
  </si>
  <si>
    <t>100,50, 20, 2, 2, 2</t>
  </si>
  <si>
    <t>Arcillo-limoso</t>
  </si>
  <si>
    <t>10-30-10, Sulfato de Hierro, Sulfato de Manganeso, Sulfato Zinc, Sulfato de Amonio</t>
  </si>
  <si>
    <t>240,5,5,7,40</t>
  </si>
  <si>
    <t>180,5,5,6,30</t>
  </si>
  <si>
    <t>15-15-15, DAP, Sulfato de amonio, Sulfato de hierro, Sulfato de manganeso, Sulfato de Zinc</t>
  </si>
  <si>
    <t>150, 70, 100, 3,3,5</t>
  </si>
  <si>
    <t>15-15-15, Sulfato de amonio, Sulfato de hierro, Sulfato de manganeso, Sulfato de Zinc</t>
  </si>
  <si>
    <t>150, 100, 2,2,7</t>
  </si>
  <si>
    <t>15-15-15, Urea, Sulfato de amonio, Sulfato de Zinc, Sulfato de Hierro, Sulfato de manganeso</t>
  </si>
  <si>
    <t>300, 50,50,6,5,5</t>
  </si>
  <si>
    <t>15-15-15, Sulfato de amonio, Sulfato de Zinc, Sulfato de Hierro, Sulfato de manganeso</t>
  </si>
  <si>
    <t>300, 50,7,5,5</t>
  </si>
  <si>
    <t>15-15-15, Sulfato de amonio, KCL, Sulfato de hierro, Sulfato de Zinc, Sulfato de Manganeso</t>
  </si>
  <si>
    <t>300, 50, 50, 10, 13,10</t>
  </si>
  <si>
    <t>10-30-10, Sulfato de amonio, Sulfato de Hierro, Sulfato de Zinc, Sulfato de Manganeso</t>
  </si>
  <si>
    <t>25,140,10,13,10</t>
  </si>
  <si>
    <t>DAP, UREA, KCl, Sulfato de amonio, Sulfato de hierro, Sulfato de zinc, Sulfato de manganeso, Borax</t>
  </si>
  <si>
    <t>200,100,100,100,3,6,3, 4</t>
  </si>
  <si>
    <t>UREA, KCl, Sulfato de amonio, Sulfato de hierro, Sulfato de zinc, Sulfato de manganeso, Borax</t>
  </si>
  <si>
    <t>15-15-15, Sulfato Amonio, Sulfato Zinc</t>
  </si>
  <si>
    <t>280, 100, 13</t>
  </si>
  <si>
    <t>DAP, UREA, Sulfato amonio, Sulfato Hierro, Sulfato Zinc, Boro</t>
  </si>
  <si>
    <t>200,100,100,3,6,3</t>
  </si>
  <si>
    <t>UREA, Sulfato amonio, Sulfato Hierro, Sulfato Zinc, Boro</t>
  </si>
  <si>
    <t>50,50,2,6,2</t>
  </si>
  <si>
    <t>Franco-arcillo-arenoso</t>
  </si>
  <si>
    <t>UREA, DAP, KCl, Sulfato amonio, Sulfato Zinc, Sulfato hierro, Sulfato Manganeso</t>
  </si>
  <si>
    <t>100,200,50,100,10,5,5</t>
  </si>
  <si>
    <t>UREA, DAP, Sulfato amonio, Sulfato Zinc, Sulfato hierro, Sulfato Manganeso, Borax</t>
  </si>
  <si>
    <t>100, 200, 100, 3, 4, 3, 4</t>
  </si>
  <si>
    <t>UREA, Sulfato amonio, Sulfato Zinc, Sulfato hierro, Sulfato Manganeso, Borax</t>
  </si>
  <si>
    <t>100, 50, 2, 4, 2, 4</t>
  </si>
  <si>
    <t>R1 2 Cassava</t>
  </si>
  <si>
    <t>R1</t>
  </si>
  <si>
    <t>R1 1 Cassava</t>
  </si>
  <si>
    <t>N3 F 4 Forrajes</t>
  </si>
  <si>
    <t>N3 F 3 Forrajes</t>
  </si>
  <si>
    <t>N3 F 5 Forrajes</t>
  </si>
  <si>
    <t>N3 F 2 Forrajes</t>
  </si>
  <si>
    <t>N3 F 1 Forrajes</t>
  </si>
  <si>
    <t>N3 1 Cassava</t>
  </si>
  <si>
    <t>N3 Forrajes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</si>
</sst>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20"/>
      <color rgb="FFEEBB54"/>
      <name val="Calibri"/>
    </font>
    <font>
      <b/>
      <sz val="11"/>
      <color rgb="FF222222"/>
      <name val="Calibri"/>
    </font>
    <font>
      <sz val="11"/>
      <color rgb="FF000000"/>
      <name val="Calibri"/>
      <family val="2"/>
    </font>
    <font>
      <sz val="11"/>
      <color rgb="FF000000"/>
      <name val="courier"/>
    </font>
  </fonts>
  <fills count="12">
    <fill>
      <patternFill patternType="none"/>
    </fill>
    <fill>
      <patternFill patternType="gray125"/>
    </fill>
    <fill>
      <patternFill patternType="solid">
        <fgColor rgb="FFEEBB54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5" tint="-0.249977111117893"/>
        <bgColor rgb="FF000000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mediumDashed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/>
    <xf numFmtId="49" fontId="3" fillId="5" borderId="1" xfId="0" applyNumberFormat="1" applyFont="1" applyFill="1" applyBorder="1" applyProtection="1">
      <protection locked="0"/>
    </xf>
    <xf numFmtId="164" fontId="0" fillId="5" borderId="1" xfId="0" applyNumberFormat="1" applyFill="1" applyBorder="1" applyProtection="1">
      <protection locked="0"/>
    </xf>
    <xf numFmtId="0" fontId="0" fillId="5" borderId="1" xfId="0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49" fontId="0" fillId="5" borderId="1" xfId="0" applyNumberFormat="1" applyFill="1" applyBorder="1" applyProtection="1">
      <protection locked="0"/>
    </xf>
    <xf numFmtId="2" fontId="0" fillId="5" borderId="1" xfId="0" applyNumberFormat="1" applyFill="1" applyBorder="1" applyProtection="1">
      <protection locked="0"/>
    </xf>
    <xf numFmtId="0" fontId="0" fillId="5" borderId="1" xfId="0" applyFill="1" applyBorder="1"/>
    <xf numFmtId="49" fontId="4" fillId="6" borderId="1" xfId="0" applyNumberFormat="1" applyFont="1" applyFill="1" applyBorder="1"/>
    <xf numFmtId="164" fontId="0" fillId="3" borderId="1" xfId="0" applyNumberFormat="1" applyFill="1" applyBorder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2" fontId="0" fillId="3" borderId="1" xfId="0" applyNumberFormat="1" applyFill="1" applyBorder="1" applyProtection="1">
      <protection locked="0"/>
    </xf>
    <xf numFmtId="0" fontId="0" fillId="3" borderId="1" xfId="0" applyFill="1" applyBorder="1"/>
    <xf numFmtId="49" fontId="4" fillId="7" borderId="1" xfId="0" applyNumberFormat="1" applyFont="1" applyFill="1" applyBorder="1"/>
    <xf numFmtId="49" fontId="4" fillId="8" borderId="1" xfId="0" applyNumberFormat="1" applyFont="1" applyFill="1" applyBorder="1"/>
    <xf numFmtId="49" fontId="4" fillId="6" borderId="2" xfId="0" applyNumberFormat="1" applyFont="1" applyFill="1" applyBorder="1"/>
    <xf numFmtId="49" fontId="3" fillId="5" borderId="2" xfId="0" applyNumberFormat="1" applyFont="1" applyFill="1" applyBorder="1" applyProtection="1">
      <protection locked="0"/>
    </xf>
    <xf numFmtId="0" fontId="0" fillId="5" borderId="2" xfId="0" applyFill="1" applyBorder="1" applyProtection="1">
      <protection locked="0"/>
    </xf>
    <xf numFmtId="49" fontId="0" fillId="5" borderId="2" xfId="0" applyNumberFormat="1" applyFill="1" applyBorder="1" applyProtection="1">
      <protection locked="0"/>
    </xf>
    <xf numFmtId="2" fontId="0" fillId="5" borderId="2" xfId="0" applyNumberFormat="1" applyFill="1" applyBorder="1" applyProtection="1">
      <protection locked="0"/>
    </xf>
    <xf numFmtId="0" fontId="0" fillId="5" borderId="2" xfId="0" applyFill="1" applyBorder="1"/>
    <xf numFmtId="164" fontId="0" fillId="5" borderId="2" xfId="0" applyNumberFormat="1" applyFill="1" applyBorder="1" applyProtection="1">
      <protection locked="0"/>
    </xf>
    <xf numFmtId="49" fontId="4" fillId="5" borderId="1" xfId="0" applyNumberFormat="1" applyFont="1" applyFill="1" applyBorder="1"/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4" fillId="9" borderId="1" xfId="0" applyNumberFormat="1" applyFont="1" applyFill="1" applyBorder="1"/>
    <xf numFmtId="49" fontId="4" fillId="10" borderId="1" xfId="0" applyNumberFormat="1" applyFont="1" applyFill="1" applyBorder="1"/>
    <xf numFmtId="49" fontId="4" fillId="8" borderId="2" xfId="0" applyNumberFormat="1" applyFont="1" applyFill="1" applyBorder="1"/>
    <xf numFmtId="49" fontId="4" fillId="7" borderId="2" xfId="0" applyNumberFormat="1" applyFont="1" applyFill="1" applyBorder="1"/>
    <xf numFmtId="49" fontId="4" fillId="3" borderId="1" xfId="0" applyNumberFormat="1" applyFont="1" applyFill="1" applyBorder="1"/>
    <xf numFmtId="49" fontId="4" fillId="4" borderId="2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49" fontId="3" fillId="3" borderId="3" xfId="0" applyNumberFormat="1" applyFont="1" applyFill="1" applyBorder="1" applyProtection="1">
      <protection locked="0"/>
    </xf>
    <xf numFmtId="49" fontId="4" fillId="11" borderId="1" xfId="0" applyNumberFormat="1" applyFont="1" applyFill="1" applyBorder="1"/>
    <xf numFmtId="0" fontId="3" fillId="3" borderId="1" xfId="0" applyFont="1" applyFill="1" applyBorder="1" applyProtection="1">
      <protection locked="0"/>
    </xf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952020F-9625-43E2-8D3D-5F73FA5A6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0</xdr:col>
      <xdr:colOff>952500</xdr:colOff>
      <xdr:row>0</xdr:row>
      <xdr:rowOff>0</xdr:rowOff>
    </xdr:from>
    <xdr:ext cx="3171825" cy="952500"/>
    <xdr:pic>
      <xdr:nvPicPr>
        <xdr:cNvPr id="3" name="Logo name" descr="Logo name">
          <a:extLst>
            <a:ext uri="{FF2B5EF4-FFF2-40B4-BE49-F238E27FC236}">
              <a16:creationId xmlns:a16="http://schemas.microsoft.com/office/drawing/2014/main" id="{A4238AA9-57D0-45F2-8656-95E6578E2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" y="0"/>
          <a:ext cx="3171825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A12C-7DD7-46A1-85C3-B77F86E22A1D}">
  <dimension ref="A1:AF82"/>
  <sheetViews>
    <sheetView tabSelected="1" topLeftCell="A17" workbookViewId="0">
      <selection activeCell="D62" sqref="D62"/>
    </sheetView>
  </sheetViews>
  <sheetFormatPr defaultColWidth="8.81640625" defaultRowHeight="14.5" x14ac:dyDescent="0.35"/>
  <cols>
    <col min="1" max="1" width="9.1796875" customWidth="1"/>
    <col min="2" max="2" width="20.6328125" customWidth="1"/>
    <col min="3" max="3" width="11" customWidth="1"/>
    <col min="4" max="4" width="10.1796875" customWidth="1"/>
    <col min="5" max="5" width="22" customWidth="1"/>
    <col min="6" max="6" width="8.90625" customWidth="1"/>
    <col min="7" max="7" width="9.453125" customWidth="1"/>
    <col min="8" max="8" width="32.6328125" customWidth="1"/>
    <col min="9" max="9" width="47.81640625" bestFit="1" customWidth="1"/>
    <col min="10" max="10" width="17.1796875" customWidth="1"/>
    <col min="11" max="11" width="20" hidden="1" customWidth="1"/>
    <col min="12" max="12" width="15.54296875" hidden="1" customWidth="1"/>
    <col min="13" max="19" width="15" customWidth="1"/>
    <col min="20" max="20" width="20" customWidth="1"/>
    <col min="21" max="21" width="55.1796875" bestFit="1" customWidth="1"/>
    <col min="22" max="22" width="15" customWidth="1"/>
    <col min="23" max="23" width="28.453125" bestFit="1" customWidth="1"/>
    <col min="24" max="24" width="20" customWidth="1"/>
    <col min="25" max="25" width="39.26953125" bestFit="1" customWidth="1"/>
    <col min="26" max="26" width="15" customWidth="1"/>
    <col min="27" max="27" width="28.453125" bestFit="1" customWidth="1"/>
    <col min="28" max="28" width="20" customWidth="1"/>
    <col min="29" max="29" width="37.6328125" bestFit="1" customWidth="1"/>
    <col min="30" max="30" width="15" customWidth="1"/>
    <col min="31" max="31" width="28.453125" bestFit="1" customWidth="1"/>
    <col min="32" max="32" width="54.90625" bestFit="1" customWidth="1"/>
  </cols>
  <sheetData>
    <row r="1" spans="1:32" ht="80" customHeight="1" x14ac:dyDescent="0.35">
      <c r="A1" s="43"/>
      <c r="B1" s="43"/>
      <c r="C1" s="43"/>
      <c r="D1" s="43"/>
      <c r="E1" s="1" t="s">
        <v>0</v>
      </c>
    </row>
    <row r="2" spans="1:32" ht="20" customHeight="1" x14ac:dyDescent="0.35">
      <c r="A2" s="44" t="s">
        <v>1</v>
      </c>
      <c r="B2" s="44"/>
      <c r="C2" t="s">
        <v>304</v>
      </c>
    </row>
    <row r="3" spans="1:32" ht="20" customHeight="1" x14ac:dyDescent="0.35">
      <c r="A3" s="44" t="s">
        <v>2</v>
      </c>
      <c r="B3" s="44"/>
    </row>
    <row r="4" spans="1:32" ht="20" customHeight="1" x14ac:dyDescent="0.35">
      <c r="A4" s="44" t="s">
        <v>3</v>
      </c>
      <c r="B4" s="2" t="s">
        <v>4</v>
      </c>
      <c r="C4" s="3" t="s">
        <v>5</v>
      </c>
    </row>
    <row r="5" spans="1:32" x14ac:dyDescent="0.35">
      <c r="A5" s="43"/>
      <c r="B5" t="s">
        <v>6</v>
      </c>
      <c r="C5" s="3" t="s">
        <v>7</v>
      </c>
    </row>
    <row r="6" spans="1:32" ht="20" customHeight="1" x14ac:dyDescent="0.35">
      <c r="A6" s="44" t="s">
        <v>8</v>
      </c>
      <c r="B6" s="44"/>
      <c r="C6" s="4" t="s">
        <v>9</v>
      </c>
    </row>
    <row r="8" spans="1:32" ht="40" customHeight="1" x14ac:dyDescent="0.35">
      <c r="A8" s="42" t="s">
        <v>10</v>
      </c>
      <c r="B8" s="43"/>
      <c r="C8" s="43"/>
      <c r="D8" s="43"/>
      <c r="E8" s="43"/>
      <c r="F8" s="42" t="s">
        <v>11</v>
      </c>
      <c r="G8" s="43"/>
      <c r="H8" s="43"/>
      <c r="I8" s="42" t="s">
        <v>12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2" t="s">
        <v>13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2" t="s">
        <v>14</v>
      </c>
    </row>
    <row r="9" spans="1:32" ht="40" customHeight="1" x14ac:dyDescent="0.35">
      <c r="A9" s="43"/>
      <c r="B9" s="43"/>
      <c r="C9" s="43"/>
      <c r="D9" s="43"/>
      <c r="E9" s="43"/>
      <c r="F9" s="42" t="s">
        <v>11</v>
      </c>
      <c r="G9" s="43"/>
      <c r="H9" s="5" t="s">
        <v>15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2" t="s">
        <v>16</v>
      </c>
      <c r="U9" s="43"/>
      <c r="V9" s="43"/>
      <c r="W9" s="43"/>
      <c r="X9" s="42" t="s">
        <v>17</v>
      </c>
      <c r="Y9" s="43"/>
      <c r="Z9" s="43"/>
      <c r="AA9" s="43"/>
      <c r="AB9" s="42" t="s">
        <v>18</v>
      </c>
      <c r="AC9" s="43"/>
      <c r="AD9" s="43"/>
      <c r="AE9" s="43"/>
      <c r="AF9" s="43"/>
    </row>
    <row r="10" spans="1:32" ht="30" customHeight="1" x14ac:dyDescent="0.35">
      <c r="A10" s="5" t="s">
        <v>19</v>
      </c>
      <c r="B10" s="5" t="s">
        <v>20</v>
      </c>
      <c r="C10" s="37" t="s">
        <v>305</v>
      </c>
      <c r="D10" s="37" t="s">
        <v>21</v>
      </c>
      <c r="E10" s="5" t="s">
        <v>2</v>
      </c>
      <c r="F10" s="5" t="s">
        <v>22</v>
      </c>
      <c r="G10" s="5" t="s">
        <v>23</v>
      </c>
      <c r="H10" s="37" t="s">
        <v>24</v>
      </c>
      <c r="I10" s="5" t="s">
        <v>25</v>
      </c>
      <c r="J10" s="37" t="s">
        <v>26</v>
      </c>
      <c r="K10" s="37" t="s">
        <v>27</v>
      </c>
      <c r="L10" s="37" t="s">
        <v>28</v>
      </c>
      <c r="M10" s="37" t="s">
        <v>29</v>
      </c>
      <c r="N10" s="37" t="s">
        <v>30</v>
      </c>
      <c r="O10" s="37" t="s">
        <v>31</v>
      </c>
      <c r="P10" s="37" t="s">
        <v>32</v>
      </c>
      <c r="Q10" s="37" t="s">
        <v>33</v>
      </c>
      <c r="R10" s="37" t="s">
        <v>34</v>
      </c>
      <c r="S10" s="37" t="s">
        <v>35</v>
      </c>
      <c r="T10" s="37" t="s">
        <v>36</v>
      </c>
      <c r="U10" s="37" t="s">
        <v>4</v>
      </c>
      <c r="V10" s="37" t="s">
        <v>37</v>
      </c>
      <c r="W10" s="37" t="s">
        <v>38</v>
      </c>
      <c r="X10" s="37" t="s">
        <v>36</v>
      </c>
      <c r="Y10" s="37" t="s">
        <v>4</v>
      </c>
      <c r="Z10" s="37" t="s">
        <v>37</v>
      </c>
      <c r="AA10" s="37" t="s">
        <v>38</v>
      </c>
      <c r="AB10" s="37" t="s">
        <v>36</v>
      </c>
      <c r="AC10" s="37" t="s">
        <v>4</v>
      </c>
      <c r="AD10" s="37" t="s">
        <v>37</v>
      </c>
      <c r="AE10" s="37" t="s">
        <v>38</v>
      </c>
      <c r="AF10" s="37" t="s">
        <v>39</v>
      </c>
    </row>
    <row r="11" spans="1:32" x14ac:dyDescent="0.35">
      <c r="A11" s="6" t="s">
        <v>40</v>
      </c>
      <c r="B11" s="7" t="s">
        <v>41</v>
      </c>
      <c r="C11" s="8">
        <v>45321</v>
      </c>
      <c r="D11" s="7" t="s">
        <v>42</v>
      </c>
      <c r="E11" s="9"/>
      <c r="F11" s="10" t="s">
        <v>43</v>
      </c>
      <c r="G11" s="10" t="s">
        <v>44</v>
      </c>
      <c r="H11" s="7" t="s">
        <v>45</v>
      </c>
      <c r="I11" s="11"/>
      <c r="J11" s="12"/>
      <c r="K11" s="12"/>
      <c r="L11" s="13">
        <f t="shared" ref="L11:L74" si="0">IF(ISBLANK(J11),K11*0.404686,J11)</f>
        <v>0</v>
      </c>
      <c r="M11" s="9"/>
      <c r="N11" s="9"/>
      <c r="O11" s="9"/>
      <c r="P11" s="9"/>
      <c r="Q11" s="9"/>
      <c r="R11" s="9"/>
      <c r="S11" s="9"/>
      <c r="T11" s="9"/>
      <c r="U11" s="11"/>
      <c r="V11" s="8"/>
      <c r="W11" s="11"/>
      <c r="X11" s="9"/>
      <c r="Y11" s="11"/>
      <c r="Z11" s="8"/>
      <c r="AA11" s="11"/>
      <c r="AB11" s="9"/>
      <c r="AC11" s="11"/>
      <c r="AD11" s="8"/>
      <c r="AE11" s="11"/>
      <c r="AF11" s="11"/>
    </row>
    <row r="12" spans="1:32" x14ac:dyDescent="0.35">
      <c r="A12" s="14" t="s">
        <v>46</v>
      </c>
      <c r="B12" s="10" t="s">
        <v>47</v>
      </c>
      <c r="C12" s="15">
        <v>45321</v>
      </c>
      <c r="D12" s="10" t="s">
        <v>48</v>
      </c>
      <c r="E12" s="16" t="s">
        <v>326</v>
      </c>
      <c r="F12" s="10" t="s">
        <v>43</v>
      </c>
      <c r="G12" s="10" t="s">
        <v>44</v>
      </c>
      <c r="H12" s="10" t="s">
        <v>49</v>
      </c>
      <c r="I12" s="10" t="s">
        <v>325</v>
      </c>
      <c r="J12" s="18">
        <v>190000</v>
      </c>
      <c r="K12" s="18"/>
      <c r="L12" s="19">
        <f t="shared" si="0"/>
        <v>190000</v>
      </c>
      <c r="M12" s="16">
        <v>2023</v>
      </c>
      <c r="N12" s="16" t="s">
        <v>326</v>
      </c>
      <c r="O12" s="16" t="s">
        <v>100</v>
      </c>
      <c r="P12" s="16" t="s">
        <v>317</v>
      </c>
      <c r="Q12" s="16" t="s">
        <v>209</v>
      </c>
      <c r="R12" s="16" t="s">
        <v>103</v>
      </c>
      <c r="S12" s="16" t="s">
        <v>9</v>
      </c>
      <c r="T12" s="16" t="s">
        <v>104</v>
      </c>
      <c r="U12" s="17" t="s">
        <v>327</v>
      </c>
      <c r="V12" s="15">
        <v>44972</v>
      </c>
      <c r="W12" s="17" t="s">
        <v>328</v>
      </c>
      <c r="X12" s="16" t="s">
        <v>104</v>
      </c>
      <c r="Y12" s="17" t="s">
        <v>329</v>
      </c>
      <c r="Z12" s="15">
        <v>44979</v>
      </c>
      <c r="AA12" s="17" t="s">
        <v>330</v>
      </c>
      <c r="AB12" s="16" t="s">
        <v>104</v>
      </c>
      <c r="AC12" s="17" t="s">
        <v>329</v>
      </c>
      <c r="AD12" s="15">
        <v>44988</v>
      </c>
      <c r="AE12" s="17" t="s">
        <v>330</v>
      </c>
      <c r="AF12" s="17"/>
    </row>
    <row r="13" spans="1:32" x14ac:dyDescent="0.35">
      <c r="A13" s="20" t="s">
        <v>50</v>
      </c>
      <c r="B13" s="7" t="s">
        <v>51</v>
      </c>
      <c r="C13" s="8">
        <v>45320</v>
      </c>
      <c r="D13" s="7" t="s">
        <v>52</v>
      </c>
      <c r="E13" s="9" t="s">
        <v>331</v>
      </c>
      <c r="F13" s="10" t="s">
        <v>43</v>
      </c>
      <c r="G13" s="10" t="s">
        <v>44</v>
      </c>
      <c r="H13" s="7" t="s">
        <v>53</v>
      </c>
      <c r="I13" s="38" t="s">
        <v>311</v>
      </c>
      <c r="J13" s="38">
        <v>2000</v>
      </c>
      <c r="K13" s="12"/>
      <c r="L13" s="13">
        <f t="shared" si="0"/>
        <v>2000</v>
      </c>
      <c r="M13" s="9"/>
      <c r="N13" s="9"/>
      <c r="O13" s="9"/>
      <c r="P13" s="9"/>
      <c r="Q13" s="9"/>
      <c r="R13" s="9"/>
      <c r="S13" s="9"/>
      <c r="T13" s="9"/>
      <c r="U13" s="11"/>
      <c r="V13" s="8"/>
      <c r="W13" s="11"/>
      <c r="X13" s="9"/>
      <c r="Y13" s="11"/>
      <c r="Z13" s="8"/>
      <c r="AA13" s="11"/>
      <c r="AB13" s="9"/>
      <c r="AC13" s="11"/>
      <c r="AD13" s="8"/>
      <c r="AE13" s="11"/>
      <c r="AF13" s="11"/>
    </row>
    <row r="14" spans="1:32" x14ac:dyDescent="0.35">
      <c r="A14" s="14" t="s">
        <v>54</v>
      </c>
      <c r="B14" s="10" t="s">
        <v>55</v>
      </c>
      <c r="C14" s="15">
        <v>45320</v>
      </c>
      <c r="D14" s="10" t="s">
        <v>56</v>
      </c>
      <c r="E14" s="16" t="s">
        <v>326</v>
      </c>
      <c r="F14" s="10" t="s">
        <v>43</v>
      </c>
      <c r="G14" s="10" t="s">
        <v>44</v>
      </c>
      <c r="H14" s="10" t="s">
        <v>57</v>
      </c>
      <c r="I14" s="10" t="s">
        <v>325</v>
      </c>
      <c r="J14" s="18">
        <v>190000</v>
      </c>
      <c r="K14" s="18"/>
      <c r="L14" s="19">
        <f t="shared" si="0"/>
        <v>190000</v>
      </c>
      <c r="M14" s="16">
        <v>1024</v>
      </c>
      <c r="N14" s="16" t="s">
        <v>326</v>
      </c>
      <c r="O14" s="16" t="s">
        <v>100</v>
      </c>
      <c r="P14" s="16" t="s">
        <v>317</v>
      </c>
      <c r="Q14" s="16" t="s">
        <v>209</v>
      </c>
      <c r="R14" s="16" t="s">
        <v>9</v>
      </c>
      <c r="S14" s="16" t="s">
        <v>9</v>
      </c>
      <c r="T14" s="16" t="s">
        <v>104</v>
      </c>
      <c r="U14" s="10" t="s">
        <v>333</v>
      </c>
      <c r="V14" s="15">
        <v>45323</v>
      </c>
      <c r="W14" s="10" t="s">
        <v>334</v>
      </c>
      <c r="X14" s="16" t="s">
        <v>104</v>
      </c>
      <c r="Y14" s="10" t="s">
        <v>335</v>
      </c>
      <c r="Z14" s="15">
        <v>45328</v>
      </c>
      <c r="AA14" s="10" t="s">
        <v>336</v>
      </c>
      <c r="AB14" s="16" t="s">
        <v>104</v>
      </c>
      <c r="AC14" s="10" t="s">
        <v>337</v>
      </c>
      <c r="AD14" s="15">
        <v>45336</v>
      </c>
      <c r="AE14" s="10" t="s">
        <v>338</v>
      </c>
      <c r="AF14" s="17"/>
    </row>
    <row r="15" spans="1:32" x14ac:dyDescent="0.35">
      <c r="A15" s="6" t="s">
        <v>58</v>
      </c>
      <c r="B15" s="7" t="s">
        <v>59</v>
      </c>
      <c r="C15" s="8">
        <v>45321</v>
      </c>
      <c r="D15" s="7" t="s">
        <v>60</v>
      </c>
      <c r="E15" s="9"/>
      <c r="F15" s="10" t="s">
        <v>43</v>
      </c>
      <c r="G15" s="10" t="s">
        <v>44</v>
      </c>
      <c r="H15" s="7" t="s">
        <v>61</v>
      </c>
      <c r="I15" s="11"/>
      <c r="J15" s="12"/>
      <c r="K15" s="12"/>
      <c r="L15" s="13">
        <f t="shared" si="0"/>
        <v>0</v>
      </c>
      <c r="M15" s="9"/>
      <c r="N15" s="9"/>
      <c r="O15" s="9"/>
      <c r="P15" s="9"/>
      <c r="Q15" s="9"/>
      <c r="R15" s="9"/>
      <c r="S15" s="9"/>
      <c r="T15" s="9"/>
      <c r="U15" s="11"/>
      <c r="V15" s="8"/>
      <c r="W15" s="11"/>
      <c r="X15" s="9"/>
      <c r="Y15" s="11"/>
      <c r="Z15" s="8"/>
      <c r="AA15" s="11"/>
      <c r="AB15" s="9"/>
      <c r="AC15" s="11"/>
      <c r="AD15" s="8"/>
      <c r="AE15" s="11"/>
      <c r="AF15" s="11"/>
    </row>
    <row r="16" spans="1:32" x14ac:dyDescent="0.35">
      <c r="A16" s="20" t="s">
        <v>62</v>
      </c>
      <c r="B16" s="10" t="s">
        <v>63</v>
      </c>
      <c r="C16" s="15">
        <v>45320</v>
      </c>
      <c r="D16" s="10" t="s">
        <v>52</v>
      </c>
      <c r="E16" s="9" t="s">
        <v>331</v>
      </c>
      <c r="F16" s="10" t="s">
        <v>43</v>
      </c>
      <c r="G16" s="10" t="s">
        <v>44</v>
      </c>
      <c r="H16" s="10" t="s">
        <v>64</v>
      </c>
      <c r="I16" s="38" t="s">
        <v>311</v>
      </c>
      <c r="J16" s="38">
        <v>2000</v>
      </c>
      <c r="K16" s="18"/>
      <c r="L16" s="19">
        <f t="shared" si="0"/>
        <v>2000</v>
      </c>
      <c r="M16" s="16"/>
      <c r="N16" s="16"/>
      <c r="O16" s="16"/>
      <c r="P16" s="16"/>
      <c r="Q16" s="16"/>
      <c r="R16" s="16"/>
      <c r="S16" s="16"/>
      <c r="T16" s="16"/>
      <c r="U16" s="17"/>
      <c r="V16" s="15"/>
      <c r="W16" s="17"/>
      <c r="X16" s="16"/>
      <c r="Y16" s="17"/>
      <c r="Z16" s="15"/>
      <c r="AA16" s="17"/>
      <c r="AB16" s="16"/>
      <c r="AC16" s="17"/>
      <c r="AD16" s="15"/>
      <c r="AE16" s="17"/>
      <c r="AF16" s="17"/>
    </row>
    <row r="17" spans="1:32" x14ac:dyDescent="0.35">
      <c r="A17" s="21" t="s">
        <v>65</v>
      </c>
      <c r="B17" s="7" t="s">
        <v>66</v>
      </c>
      <c r="C17" s="8">
        <v>45320</v>
      </c>
      <c r="D17" s="7" t="s">
        <v>67</v>
      </c>
      <c r="E17" s="9" t="s">
        <v>360</v>
      </c>
      <c r="F17" s="10" t="s">
        <v>43</v>
      </c>
      <c r="G17" s="10" t="s">
        <v>44</v>
      </c>
      <c r="H17" s="7" t="s">
        <v>68</v>
      </c>
      <c r="I17" s="11" t="s">
        <v>361</v>
      </c>
      <c r="J17" s="12">
        <v>10000</v>
      </c>
      <c r="K17" s="12"/>
      <c r="L17" s="13">
        <f t="shared" si="0"/>
        <v>10000</v>
      </c>
      <c r="M17" s="9">
        <v>2022</v>
      </c>
      <c r="N17" s="9" t="s">
        <v>362</v>
      </c>
      <c r="O17" s="9" t="s">
        <v>352</v>
      </c>
      <c r="P17" s="9" t="s">
        <v>317</v>
      </c>
      <c r="Q17" s="9" t="s">
        <v>209</v>
      </c>
      <c r="R17" s="9" t="s">
        <v>9</v>
      </c>
      <c r="S17" s="9" t="s">
        <v>9</v>
      </c>
      <c r="T17" s="9" t="s">
        <v>104</v>
      </c>
      <c r="U17" s="7" t="s">
        <v>363</v>
      </c>
      <c r="V17" s="8">
        <v>44899</v>
      </c>
      <c r="W17" s="7" t="s">
        <v>364</v>
      </c>
      <c r="X17" s="9"/>
      <c r="Y17" s="11"/>
      <c r="Z17" s="8"/>
      <c r="AA17" s="11"/>
      <c r="AB17" s="9"/>
      <c r="AC17" s="11"/>
      <c r="AD17" s="8"/>
      <c r="AE17" s="11"/>
      <c r="AF17" s="11"/>
    </row>
    <row r="18" spans="1:32" x14ac:dyDescent="0.35">
      <c r="A18" s="20" t="s">
        <v>69</v>
      </c>
      <c r="B18" s="10" t="s">
        <v>409</v>
      </c>
      <c r="C18" s="15">
        <v>45320</v>
      </c>
      <c r="D18" s="10" t="s">
        <v>411</v>
      </c>
      <c r="E18" s="9" t="s">
        <v>331</v>
      </c>
      <c r="F18" s="10" t="s">
        <v>43</v>
      </c>
      <c r="G18" s="10" t="s">
        <v>44</v>
      </c>
      <c r="H18" s="10" t="s">
        <v>71</v>
      </c>
      <c r="I18" s="39" t="s">
        <v>312</v>
      </c>
      <c r="J18" s="18"/>
      <c r="K18" s="18"/>
      <c r="L18" s="19">
        <f t="shared" si="0"/>
        <v>0</v>
      </c>
      <c r="M18" s="16"/>
      <c r="N18" s="16"/>
      <c r="O18" s="16"/>
      <c r="P18" s="16"/>
      <c r="Q18" s="16"/>
      <c r="R18" s="16"/>
      <c r="S18" s="16"/>
      <c r="T18" s="16"/>
      <c r="U18" s="17"/>
      <c r="V18" s="15"/>
      <c r="W18" s="17"/>
      <c r="X18" s="16"/>
      <c r="Y18" s="17"/>
      <c r="Z18" s="15"/>
      <c r="AA18" s="17"/>
      <c r="AB18" s="16"/>
      <c r="AC18" s="17"/>
      <c r="AD18" s="15"/>
      <c r="AE18" s="17"/>
      <c r="AF18" s="17"/>
    </row>
    <row r="19" spans="1:32" x14ac:dyDescent="0.35">
      <c r="A19" s="6" t="s">
        <v>72</v>
      </c>
      <c r="B19" s="7" t="s">
        <v>73</v>
      </c>
      <c r="C19" s="8">
        <v>45320</v>
      </c>
      <c r="D19" s="7" t="s">
        <v>74</v>
      </c>
      <c r="E19" s="9"/>
      <c r="F19" s="10" t="s">
        <v>43</v>
      </c>
      <c r="G19" s="10" t="s">
        <v>44</v>
      </c>
      <c r="H19" s="7" t="s">
        <v>75</v>
      </c>
      <c r="I19" s="11"/>
      <c r="J19" s="12"/>
      <c r="K19" s="12"/>
      <c r="L19" s="13">
        <f t="shared" si="0"/>
        <v>0</v>
      </c>
      <c r="M19" s="9"/>
      <c r="N19" s="9"/>
      <c r="O19" s="9"/>
      <c r="P19" s="9"/>
      <c r="Q19" s="9"/>
      <c r="R19" s="9"/>
      <c r="S19" s="9"/>
      <c r="T19" s="9"/>
      <c r="U19" s="11"/>
      <c r="V19" s="8"/>
      <c r="W19" s="11"/>
      <c r="X19" s="9"/>
      <c r="Y19" s="11"/>
      <c r="Z19" s="8"/>
      <c r="AA19" s="11"/>
      <c r="AB19" s="9"/>
      <c r="AC19" s="11"/>
      <c r="AD19" s="8"/>
      <c r="AE19" s="11"/>
      <c r="AF19" s="11"/>
    </row>
    <row r="20" spans="1:32" ht="15" thickBot="1" x14ac:dyDescent="0.4">
      <c r="A20" s="14" t="s">
        <v>76</v>
      </c>
      <c r="B20" s="10" t="s">
        <v>77</v>
      </c>
      <c r="C20" s="15">
        <v>45320</v>
      </c>
      <c r="D20" s="10" t="s">
        <v>78</v>
      </c>
      <c r="E20" s="16" t="s">
        <v>340</v>
      </c>
      <c r="F20" s="10" t="s">
        <v>43</v>
      </c>
      <c r="G20" s="10" t="s">
        <v>44</v>
      </c>
      <c r="H20" s="10" t="s">
        <v>79</v>
      </c>
      <c r="I20" s="17" t="s">
        <v>339</v>
      </c>
      <c r="J20" s="18">
        <v>160000</v>
      </c>
      <c r="K20" s="18"/>
      <c r="L20" s="19">
        <f t="shared" si="0"/>
        <v>160000</v>
      </c>
      <c r="M20" s="16">
        <v>1024</v>
      </c>
      <c r="N20" s="16" t="s">
        <v>326</v>
      </c>
      <c r="O20" s="16" t="s">
        <v>100</v>
      </c>
      <c r="P20" s="16" t="s">
        <v>317</v>
      </c>
      <c r="Q20" s="16" t="s">
        <v>209</v>
      </c>
      <c r="R20" s="16" t="s">
        <v>103</v>
      </c>
      <c r="S20" s="16" t="s">
        <v>9</v>
      </c>
      <c r="T20" s="16"/>
      <c r="U20" s="17"/>
      <c r="V20" s="15"/>
      <c r="W20" s="17"/>
      <c r="X20" s="16"/>
      <c r="Y20" s="17"/>
      <c r="Z20" s="15"/>
      <c r="AA20" s="17"/>
      <c r="AB20" s="16"/>
      <c r="AC20" s="17"/>
      <c r="AD20" s="15"/>
      <c r="AE20" s="17"/>
      <c r="AF20" s="17"/>
    </row>
    <row r="21" spans="1:32" x14ac:dyDescent="0.35">
      <c r="A21" s="22" t="s">
        <v>80</v>
      </c>
      <c r="B21" s="23" t="s">
        <v>81</v>
      </c>
      <c r="C21" s="8">
        <v>45321</v>
      </c>
      <c r="D21" s="23" t="s">
        <v>82</v>
      </c>
      <c r="E21" s="24" t="s">
        <v>326</v>
      </c>
      <c r="F21" s="10" t="s">
        <v>43</v>
      </c>
      <c r="G21" s="10" t="s">
        <v>44</v>
      </c>
      <c r="H21" s="23" t="s">
        <v>83</v>
      </c>
      <c r="I21" s="25" t="s">
        <v>341</v>
      </c>
      <c r="J21" s="18">
        <v>190000</v>
      </c>
      <c r="K21" s="26"/>
      <c r="L21" s="27">
        <f t="shared" si="0"/>
        <v>190000</v>
      </c>
      <c r="M21" s="24">
        <v>2022</v>
      </c>
      <c r="N21" s="24" t="s">
        <v>326</v>
      </c>
      <c r="O21" s="24" t="s">
        <v>100</v>
      </c>
      <c r="P21" s="24" t="s">
        <v>317</v>
      </c>
      <c r="Q21" s="24" t="s">
        <v>209</v>
      </c>
      <c r="R21" s="24" t="s">
        <v>9</v>
      </c>
      <c r="S21" s="24" t="s">
        <v>9</v>
      </c>
      <c r="T21" s="16" t="s">
        <v>104</v>
      </c>
      <c r="U21" s="17" t="s">
        <v>342</v>
      </c>
      <c r="V21" s="15">
        <v>44581</v>
      </c>
      <c r="W21" s="17" t="s">
        <v>343</v>
      </c>
      <c r="X21" s="16" t="s">
        <v>104</v>
      </c>
      <c r="Y21" s="17" t="s">
        <v>344</v>
      </c>
      <c r="Z21" s="15">
        <v>44588</v>
      </c>
      <c r="AA21" s="17" t="s">
        <v>345</v>
      </c>
      <c r="AB21" s="16" t="s">
        <v>104</v>
      </c>
      <c r="AC21" s="17" t="s">
        <v>342</v>
      </c>
      <c r="AD21" s="15">
        <v>44594</v>
      </c>
      <c r="AE21" s="17" t="s">
        <v>330</v>
      </c>
      <c r="AF21" s="25"/>
    </row>
    <row r="22" spans="1:32" x14ac:dyDescent="0.35">
      <c r="A22" s="20" t="s">
        <v>84</v>
      </c>
      <c r="B22" s="10" t="s">
        <v>85</v>
      </c>
      <c r="C22" s="15">
        <v>45320</v>
      </c>
      <c r="D22" s="10" t="s">
        <v>67</v>
      </c>
      <c r="E22" s="9" t="s">
        <v>331</v>
      </c>
      <c r="F22" s="10" t="s">
        <v>43</v>
      </c>
      <c r="G22" s="10" t="s">
        <v>44</v>
      </c>
      <c r="H22" s="10" t="s">
        <v>86</v>
      </c>
      <c r="I22" s="39" t="s">
        <v>312</v>
      </c>
      <c r="J22" s="18"/>
      <c r="K22" s="18"/>
      <c r="L22" s="19">
        <f t="shared" si="0"/>
        <v>0</v>
      </c>
      <c r="M22" s="16"/>
      <c r="N22" s="16"/>
      <c r="O22" s="16"/>
      <c r="P22" s="16"/>
      <c r="Q22" s="16"/>
      <c r="R22" s="16"/>
      <c r="S22" s="16"/>
      <c r="T22" s="16"/>
      <c r="U22" s="17"/>
      <c r="V22" s="15"/>
      <c r="W22" s="17"/>
      <c r="X22" s="16"/>
      <c r="Y22" s="17"/>
      <c r="Z22" s="15"/>
      <c r="AA22" s="17"/>
      <c r="AB22" s="16"/>
      <c r="AC22" s="17"/>
      <c r="AD22" s="15"/>
      <c r="AE22" s="17"/>
      <c r="AF22" s="17"/>
    </row>
    <row r="23" spans="1:32" x14ac:dyDescent="0.35">
      <c r="A23" s="20" t="s">
        <v>87</v>
      </c>
      <c r="B23" s="7" t="s">
        <v>406</v>
      </c>
      <c r="C23" s="8">
        <v>45320</v>
      </c>
      <c r="D23" s="7" t="s">
        <v>411</v>
      </c>
      <c r="E23" s="9" t="s">
        <v>331</v>
      </c>
      <c r="F23" s="10" t="s">
        <v>43</v>
      </c>
      <c r="G23" s="10" t="s">
        <v>44</v>
      </c>
      <c r="H23" s="7" t="s">
        <v>88</v>
      </c>
      <c r="I23" s="39" t="s">
        <v>312</v>
      </c>
      <c r="J23" s="12"/>
      <c r="K23" s="12"/>
      <c r="L23" s="13">
        <f t="shared" si="0"/>
        <v>0</v>
      </c>
      <c r="M23" s="9"/>
      <c r="N23" s="9"/>
      <c r="O23" s="9"/>
      <c r="P23" s="9"/>
      <c r="Q23" s="9"/>
      <c r="R23" s="9"/>
      <c r="S23" s="9"/>
      <c r="T23" s="9"/>
      <c r="U23" s="11"/>
      <c r="V23" s="8"/>
      <c r="W23" s="11"/>
      <c r="X23" s="9"/>
      <c r="Y23" s="11"/>
      <c r="Z23" s="8"/>
      <c r="AA23" s="11"/>
      <c r="AB23" s="9"/>
      <c r="AC23" s="11"/>
      <c r="AD23" s="8"/>
      <c r="AE23" s="11"/>
      <c r="AF23" s="11"/>
    </row>
    <row r="24" spans="1:32" x14ac:dyDescent="0.35">
      <c r="A24" s="21" t="s">
        <v>89</v>
      </c>
      <c r="B24" s="10" t="s">
        <v>90</v>
      </c>
      <c r="C24" s="15">
        <v>45321</v>
      </c>
      <c r="D24" s="10" t="s">
        <v>91</v>
      </c>
      <c r="E24" s="16" t="s">
        <v>360</v>
      </c>
      <c r="F24" s="10" t="s">
        <v>43</v>
      </c>
      <c r="G24" s="10" t="s">
        <v>44</v>
      </c>
      <c r="H24" s="10" t="s">
        <v>92</v>
      </c>
      <c r="I24" s="17" t="s">
        <v>361</v>
      </c>
      <c r="J24" s="18">
        <v>10000</v>
      </c>
      <c r="K24" s="18"/>
      <c r="L24" s="19">
        <f t="shared" si="0"/>
        <v>10000</v>
      </c>
      <c r="M24" s="16">
        <v>2023</v>
      </c>
      <c r="N24" s="16" t="s">
        <v>362</v>
      </c>
      <c r="O24" s="16" t="s">
        <v>100</v>
      </c>
      <c r="P24" s="16" t="s">
        <v>365</v>
      </c>
      <c r="Q24" s="16" t="s">
        <v>366</v>
      </c>
      <c r="R24" s="16" t="s">
        <v>9</v>
      </c>
      <c r="S24" s="16" t="s">
        <v>9</v>
      </c>
      <c r="T24" s="16" t="s">
        <v>104</v>
      </c>
      <c r="U24" s="10" t="s">
        <v>367</v>
      </c>
      <c r="V24" s="15">
        <v>44684</v>
      </c>
      <c r="W24" s="10" t="s">
        <v>368</v>
      </c>
      <c r="X24" s="16" t="s">
        <v>104</v>
      </c>
      <c r="Y24" s="10" t="s">
        <v>367</v>
      </c>
      <c r="Z24" s="15">
        <v>44713</v>
      </c>
      <c r="AA24" s="10" t="s">
        <v>369</v>
      </c>
      <c r="AB24" s="16"/>
      <c r="AC24" s="17"/>
      <c r="AD24" s="15"/>
      <c r="AE24" s="17"/>
      <c r="AF24" s="17"/>
    </row>
    <row r="25" spans="1:32" x14ac:dyDescent="0.35">
      <c r="A25" s="29" t="s">
        <v>93</v>
      </c>
      <c r="B25" s="7" t="s">
        <v>94</v>
      </c>
      <c r="C25" s="8">
        <v>45321</v>
      </c>
      <c r="D25" s="7" t="s">
        <v>95</v>
      </c>
      <c r="E25" s="9" t="s">
        <v>96</v>
      </c>
      <c r="F25" s="10" t="s">
        <v>43</v>
      </c>
      <c r="G25" s="10" t="s">
        <v>44</v>
      </c>
      <c r="H25" s="7" t="s">
        <v>97</v>
      </c>
      <c r="I25" s="30" t="s">
        <v>98</v>
      </c>
      <c r="J25" s="12">
        <v>160000</v>
      </c>
      <c r="K25" s="12"/>
      <c r="L25" s="13">
        <f t="shared" si="0"/>
        <v>160000</v>
      </c>
      <c r="M25" s="9">
        <v>2023</v>
      </c>
      <c r="N25" s="9" t="s">
        <v>99</v>
      </c>
      <c r="O25" s="9" t="s">
        <v>100</v>
      </c>
      <c r="P25" s="9" t="s">
        <v>101</v>
      </c>
      <c r="Q25" s="9" t="s">
        <v>102</v>
      </c>
      <c r="R25" s="9" t="s">
        <v>103</v>
      </c>
      <c r="S25" s="9"/>
      <c r="T25" s="9" t="s">
        <v>104</v>
      </c>
      <c r="U25" s="11" t="s">
        <v>306</v>
      </c>
      <c r="V25" s="8">
        <v>45302</v>
      </c>
      <c r="W25" s="11" t="s">
        <v>307</v>
      </c>
      <c r="X25" s="9" t="s">
        <v>104</v>
      </c>
      <c r="Y25" s="11" t="s">
        <v>210</v>
      </c>
      <c r="Z25" s="8">
        <v>45302</v>
      </c>
      <c r="AA25" s="11" t="s">
        <v>308</v>
      </c>
      <c r="AB25" s="9" t="s">
        <v>104</v>
      </c>
      <c r="AC25" s="11" t="s">
        <v>212</v>
      </c>
      <c r="AD25" s="8">
        <v>45302</v>
      </c>
      <c r="AE25" s="11" t="s">
        <v>309</v>
      </c>
      <c r="AF25" s="11"/>
    </row>
    <row r="26" spans="1:32" x14ac:dyDescent="0.35">
      <c r="A26" s="21" t="s">
        <v>105</v>
      </c>
      <c r="B26" s="10" t="s">
        <v>402</v>
      </c>
      <c r="C26" s="15">
        <v>45321</v>
      </c>
      <c r="D26" s="10" t="s">
        <v>403</v>
      </c>
      <c r="E26" s="16" t="s">
        <v>360</v>
      </c>
      <c r="F26" s="10" t="s">
        <v>43</v>
      </c>
      <c r="G26" s="10" t="s">
        <v>44</v>
      </c>
      <c r="H26" s="10" t="s">
        <v>106</v>
      </c>
      <c r="I26" s="17" t="s">
        <v>361</v>
      </c>
      <c r="J26" s="18">
        <v>10000</v>
      </c>
      <c r="K26" s="18"/>
      <c r="L26" s="19">
        <f t="shared" si="0"/>
        <v>10000</v>
      </c>
      <c r="M26" s="16">
        <v>2022</v>
      </c>
      <c r="N26" s="16" t="s">
        <v>362</v>
      </c>
      <c r="O26" s="16" t="s">
        <v>100</v>
      </c>
      <c r="P26" s="16" t="s">
        <v>365</v>
      </c>
      <c r="Q26" s="16" t="s">
        <v>370</v>
      </c>
      <c r="R26" s="16" t="s">
        <v>9</v>
      </c>
      <c r="S26" s="16" t="s">
        <v>9</v>
      </c>
      <c r="T26" s="16" t="s">
        <v>104</v>
      </c>
      <c r="U26" s="10" t="s">
        <v>371</v>
      </c>
      <c r="V26" s="15">
        <v>44649</v>
      </c>
      <c r="W26" s="10" t="s">
        <v>372</v>
      </c>
      <c r="X26" s="16" t="s">
        <v>104</v>
      </c>
      <c r="Y26" s="10" t="s">
        <v>371</v>
      </c>
      <c r="Z26" s="15">
        <v>44763</v>
      </c>
      <c r="AA26" s="10" t="s">
        <v>373</v>
      </c>
      <c r="AB26" s="16"/>
      <c r="AC26" s="17"/>
      <c r="AD26" s="15"/>
      <c r="AE26" s="17"/>
      <c r="AF26" s="17"/>
    </row>
    <row r="27" spans="1:32" x14ac:dyDescent="0.35">
      <c r="A27" s="31" t="s">
        <v>107</v>
      </c>
      <c r="B27" s="7" t="s">
        <v>108</v>
      </c>
      <c r="C27" s="8">
        <v>45321</v>
      </c>
      <c r="D27" s="7" t="s">
        <v>109</v>
      </c>
      <c r="E27" s="9" t="s">
        <v>207</v>
      </c>
      <c r="F27" s="10" t="s">
        <v>43</v>
      </c>
      <c r="G27" s="10" t="s">
        <v>44</v>
      </c>
      <c r="H27" s="7" t="s">
        <v>110</v>
      </c>
      <c r="I27" s="11" t="s">
        <v>348</v>
      </c>
      <c r="J27" s="12">
        <v>133000</v>
      </c>
      <c r="K27" s="12"/>
      <c r="L27" s="13">
        <f t="shared" si="0"/>
        <v>133000</v>
      </c>
      <c r="M27" s="9">
        <v>2023</v>
      </c>
      <c r="N27" s="9" t="s">
        <v>116</v>
      </c>
      <c r="O27" s="9" t="s">
        <v>100</v>
      </c>
      <c r="P27" s="9" t="s">
        <v>317</v>
      </c>
      <c r="Q27" s="9" t="s">
        <v>102</v>
      </c>
      <c r="R27" s="9" t="s">
        <v>103</v>
      </c>
      <c r="S27" s="9"/>
      <c r="T27" s="9" t="s">
        <v>104</v>
      </c>
      <c r="U27" s="11" t="s">
        <v>353</v>
      </c>
      <c r="V27" s="8">
        <v>45241</v>
      </c>
      <c r="W27" s="11"/>
      <c r="X27" s="9"/>
      <c r="Y27" s="11"/>
      <c r="Z27" s="8"/>
      <c r="AA27" s="11"/>
      <c r="AB27" s="9"/>
      <c r="AC27" s="11"/>
      <c r="AD27" s="8"/>
      <c r="AE27" s="11"/>
      <c r="AF27" s="11"/>
    </row>
    <row r="28" spans="1:32" x14ac:dyDescent="0.35">
      <c r="A28" s="21" t="s">
        <v>111</v>
      </c>
      <c r="B28" s="10" t="s">
        <v>404</v>
      </c>
      <c r="C28" s="15">
        <v>45321</v>
      </c>
      <c r="D28" s="10" t="s">
        <v>403</v>
      </c>
      <c r="E28" s="16" t="s">
        <v>360</v>
      </c>
      <c r="F28" s="10" t="s">
        <v>43</v>
      </c>
      <c r="G28" s="10" t="s">
        <v>44</v>
      </c>
      <c r="H28" s="10" t="s">
        <v>112</v>
      </c>
      <c r="I28" s="17" t="s">
        <v>361</v>
      </c>
      <c r="J28" s="18">
        <v>10000</v>
      </c>
      <c r="K28" s="18"/>
      <c r="L28" s="19">
        <f t="shared" si="0"/>
        <v>10000</v>
      </c>
      <c r="M28" s="16">
        <v>2022</v>
      </c>
      <c r="N28" s="16" t="s">
        <v>362</v>
      </c>
      <c r="O28" s="16" t="s">
        <v>100</v>
      </c>
      <c r="P28" s="16" t="s">
        <v>365</v>
      </c>
      <c r="Q28" s="16" t="s">
        <v>370</v>
      </c>
      <c r="R28" s="16" t="s">
        <v>9</v>
      </c>
      <c r="S28" s="16" t="s">
        <v>9</v>
      </c>
      <c r="T28" s="16" t="s">
        <v>104</v>
      </c>
      <c r="U28" s="10" t="s">
        <v>371</v>
      </c>
      <c r="V28" s="15">
        <v>44649</v>
      </c>
      <c r="W28" s="10" t="s">
        <v>372</v>
      </c>
      <c r="X28" s="16" t="s">
        <v>104</v>
      </c>
      <c r="Y28" s="10" t="s">
        <v>371</v>
      </c>
      <c r="Z28" s="15">
        <v>45128</v>
      </c>
      <c r="AA28" s="10" t="s">
        <v>373</v>
      </c>
      <c r="AB28" s="16"/>
      <c r="AC28" s="17"/>
      <c r="AD28" s="15"/>
      <c r="AE28" s="17"/>
      <c r="AF28" s="17"/>
    </row>
    <row r="29" spans="1:32" x14ac:dyDescent="0.35">
      <c r="A29" s="32" t="s">
        <v>113</v>
      </c>
      <c r="B29" s="7" t="s">
        <v>114</v>
      </c>
      <c r="C29" s="8">
        <v>45321</v>
      </c>
      <c r="D29" s="7" t="s">
        <v>115</v>
      </c>
      <c r="E29" s="9" t="s">
        <v>116</v>
      </c>
      <c r="F29" s="10" t="s">
        <v>43</v>
      </c>
      <c r="G29" s="10" t="s">
        <v>44</v>
      </c>
      <c r="H29" s="7" t="s">
        <v>117</v>
      </c>
      <c r="I29" s="11" t="s">
        <v>316</v>
      </c>
      <c r="J29" s="12">
        <v>570</v>
      </c>
      <c r="K29" s="12"/>
      <c r="L29" s="13">
        <f t="shared" si="0"/>
        <v>570</v>
      </c>
      <c r="M29" s="9">
        <v>2021</v>
      </c>
      <c r="N29" s="9" t="s">
        <v>116</v>
      </c>
      <c r="O29" s="9" t="s">
        <v>100</v>
      </c>
      <c r="P29" s="9" t="s">
        <v>317</v>
      </c>
      <c r="Q29" s="9" t="s">
        <v>209</v>
      </c>
      <c r="R29" s="9" t="s">
        <v>9</v>
      </c>
      <c r="S29" s="9" t="s">
        <v>9</v>
      </c>
      <c r="T29" s="9" t="s">
        <v>104</v>
      </c>
      <c r="U29" s="11" t="s">
        <v>318</v>
      </c>
      <c r="V29" s="8">
        <v>45000</v>
      </c>
      <c r="W29" s="11" t="s">
        <v>322</v>
      </c>
      <c r="X29" s="9" t="s">
        <v>214</v>
      </c>
      <c r="Y29" s="11" t="s">
        <v>320</v>
      </c>
      <c r="Z29" s="8">
        <v>45015</v>
      </c>
      <c r="AA29" s="11" t="s">
        <v>321</v>
      </c>
      <c r="AB29" s="9"/>
      <c r="AC29" s="11"/>
      <c r="AD29" s="8"/>
      <c r="AE29" s="11"/>
      <c r="AF29" s="11"/>
    </row>
    <row r="30" spans="1:32" ht="15" thickBot="1" x14ac:dyDescent="0.4">
      <c r="A30" s="20" t="s">
        <v>118</v>
      </c>
      <c r="B30" s="10" t="s">
        <v>405</v>
      </c>
      <c r="C30" s="15">
        <v>45320</v>
      </c>
      <c r="D30" s="10" t="s">
        <v>411</v>
      </c>
      <c r="E30" s="16" t="s">
        <v>332</v>
      </c>
      <c r="F30" s="10" t="s">
        <v>43</v>
      </c>
      <c r="G30" s="10" t="s">
        <v>44</v>
      </c>
      <c r="H30" s="10" t="s">
        <v>119</v>
      </c>
      <c r="I30" s="39" t="s">
        <v>313</v>
      </c>
      <c r="J30" s="18"/>
      <c r="K30" s="18"/>
      <c r="L30" s="19">
        <f t="shared" si="0"/>
        <v>0</v>
      </c>
      <c r="M30" s="16"/>
      <c r="N30" s="16"/>
      <c r="O30" s="16"/>
      <c r="P30" s="16"/>
      <c r="Q30" s="16"/>
      <c r="R30" s="16"/>
      <c r="S30" s="16"/>
      <c r="T30" s="16"/>
      <c r="U30" s="17"/>
      <c r="V30" s="15"/>
      <c r="W30" s="17"/>
      <c r="X30" s="16"/>
      <c r="Y30" s="17"/>
      <c r="Z30" s="15"/>
      <c r="AA30" s="17"/>
      <c r="AB30" s="16"/>
      <c r="AC30" s="17"/>
      <c r="AD30" s="15"/>
      <c r="AE30" s="17"/>
      <c r="AF30" s="17"/>
    </row>
    <row r="31" spans="1:32" x14ac:dyDescent="0.35">
      <c r="A31" s="33" t="s">
        <v>120</v>
      </c>
      <c r="B31" s="23" t="s">
        <v>410</v>
      </c>
      <c r="C31" s="8">
        <v>45320</v>
      </c>
      <c r="D31" s="23" t="s">
        <v>70</v>
      </c>
      <c r="E31" s="24" t="s">
        <v>360</v>
      </c>
      <c r="F31" s="10" t="s">
        <v>43</v>
      </c>
      <c r="G31" s="10" t="s">
        <v>44</v>
      </c>
      <c r="H31" s="23" t="s">
        <v>121</v>
      </c>
      <c r="I31" s="25" t="s">
        <v>361</v>
      </c>
      <c r="J31" s="26">
        <v>10000</v>
      </c>
      <c r="K31" s="26"/>
      <c r="L31" s="27">
        <f t="shared" si="0"/>
        <v>10000</v>
      </c>
      <c r="M31" s="24">
        <v>2023</v>
      </c>
      <c r="N31" s="24" t="s">
        <v>362</v>
      </c>
      <c r="O31" s="24" t="s">
        <v>352</v>
      </c>
      <c r="P31" s="24" t="s">
        <v>317</v>
      </c>
      <c r="Q31" s="24" t="s">
        <v>102</v>
      </c>
      <c r="R31" s="24" t="s">
        <v>9</v>
      </c>
      <c r="S31" s="24" t="s">
        <v>9</v>
      </c>
      <c r="T31" s="24" t="s">
        <v>104</v>
      </c>
      <c r="U31" s="23" t="s">
        <v>374</v>
      </c>
      <c r="V31" s="15">
        <v>45133</v>
      </c>
      <c r="W31" s="23" t="s">
        <v>375</v>
      </c>
      <c r="X31" s="24" t="s">
        <v>104</v>
      </c>
      <c r="Y31" s="23" t="s">
        <v>376</v>
      </c>
      <c r="Z31" s="15">
        <v>45154</v>
      </c>
      <c r="AA31" s="23" t="s">
        <v>377</v>
      </c>
      <c r="AB31" s="24"/>
      <c r="AC31" s="25"/>
      <c r="AD31" s="28"/>
      <c r="AE31" s="25"/>
      <c r="AF31" s="25"/>
    </row>
    <row r="32" spans="1:32" x14ac:dyDescent="0.35">
      <c r="A32" s="14" t="s">
        <v>122</v>
      </c>
      <c r="B32" s="10" t="s">
        <v>123</v>
      </c>
      <c r="C32" s="15">
        <v>45320</v>
      </c>
      <c r="D32" s="10" t="s">
        <v>124</v>
      </c>
      <c r="E32" s="16" t="s">
        <v>99</v>
      </c>
      <c r="F32" s="10" t="s">
        <v>43</v>
      </c>
      <c r="G32" s="10" t="s">
        <v>44</v>
      </c>
      <c r="H32" s="10" t="s">
        <v>125</v>
      </c>
      <c r="I32" s="17" t="s">
        <v>339</v>
      </c>
      <c r="J32" s="18">
        <v>160000</v>
      </c>
      <c r="K32" s="18"/>
      <c r="L32" s="19">
        <f t="shared" si="0"/>
        <v>160000</v>
      </c>
      <c r="M32" s="16">
        <v>1024</v>
      </c>
      <c r="N32" s="16" t="s">
        <v>326</v>
      </c>
      <c r="O32" s="16" t="s">
        <v>100</v>
      </c>
      <c r="P32" s="16" t="s">
        <v>208</v>
      </c>
      <c r="Q32" s="16" t="s">
        <v>209</v>
      </c>
      <c r="R32" s="16" t="s">
        <v>103</v>
      </c>
      <c r="S32" s="16" t="s">
        <v>9</v>
      </c>
      <c r="T32" s="16"/>
      <c r="U32" s="17"/>
      <c r="V32" s="15"/>
      <c r="W32" s="17"/>
      <c r="X32" s="16"/>
      <c r="Y32" s="17"/>
      <c r="Z32" s="15"/>
      <c r="AA32" s="17"/>
      <c r="AB32" s="16"/>
      <c r="AC32" s="17"/>
      <c r="AD32" s="15"/>
      <c r="AE32" s="17"/>
      <c r="AF32" s="17"/>
    </row>
    <row r="33" spans="1:32" x14ac:dyDescent="0.35">
      <c r="A33" s="20" t="s">
        <v>126</v>
      </c>
      <c r="B33" s="7" t="s">
        <v>127</v>
      </c>
      <c r="C33" s="8">
        <v>45320</v>
      </c>
      <c r="D33" s="7" t="s">
        <v>128</v>
      </c>
      <c r="E33" s="9" t="s">
        <v>331</v>
      </c>
      <c r="F33" s="10" t="s">
        <v>43</v>
      </c>
      <c r="G33" s="10" t="s">
        <v>44</v>
      </c>
      <c r="H33" s="7" t="s">
        <v>129</v>
      </c>
      <c r="I33" t="s">
        <v>314</v>
      </c>
      <c r="J33" s="12"/>
      <c r="K33" s="12"/>
      <c r="L33" s="13">
        <f t="shared" si="0"/>
        <v>0</v>
      </c>
      <c r="M33" s="9"/>
      <c r="N33" s="9"/>
      <c r="O33" s="9"/>
      <c r="P33" s="9"/>
      <c r="Q33" s="9"/>
      <c r="R33" s="9"/>
      <c r="S33" s="9"/>
      <c r="T33" s="9"/>
      <c r="U33" s="11"/>
      <c r="V33" s="8"/>
      <c r="W33" s="11"/>
      <c r="X33" s="9"/>
      <c r="Y33" s="11"/>
      <c r="Z33" s="8"/>
      <c r="AA33" s="11"/>
      <c r="AB33" s="9"/>
      <c r="AC33" s="11"/>
      <c r="AD33" s="8"/>
      <c r="AE33" s="11"/>
      <c r="AF33" s="11"/>
    </row>
    <row r="34" spans="1:32" x14ac:dyDescent="0.35">
      <c r="A34" s="31" t="s">
        <v>130</v>
      </c>
      <c r="B34" s="10" t="s">
        <v>131</v>
      </c>
      <c r="C34" s="15">
        <v>45321</v>
      </c>
      <c r="D34" s="10" t="s">
        <v>132</v>
      </c>
      <c r="E34" s="16" t="s">
        <v>99</v>
      </c>
      <c r="F34" s="10" t="s">
        <v>43</v>
      </c>
      <c r="G34" s="10" t="s">
        <v>44</v>
      </c>
      <c r="H34" s="10" t="s">
        <v>133</v>
      </c>
      <c r="I34" s="17" t="s">
        <v>351</v>
      </c>
      <c r="J34" s="18"/>
      <c r="K34" s="18"/>
      <c r="L34" s="19">
        <f t="shared" si="0"/>
        <v>0</v>
      </c>
      <c r="M34" s="16">
        <v>2023</v>
      </c>
      <c r="N34" s="9" t="s">
        <v>99</v>
      </c>
      <c r="O34" s="16" t="s">
        <v>349</v>
      </c>
      <c r="P34" s="16" t="s">
        <v>101</v>
      </c>
      <c r="Q34" s="16" t="s">
        <v>102</v>
      </c>
      <c r="R34" s="16" t="s">
        <v>103</v>
      </c>
      <c r="S34" s="16"/>
      <c r="T34" s="16" t="s">
        <v>350</v>
      </c>
      <c r="U34" s="17"/>
      <c r="V34" s="15"/>
      <c r="W34" s="17"/>
      <c r="X34" s="16"/>
      <c r="Y34" s="17"/>
      <c r="Z34" s="15"/>
      <c r="AA34" s="17"/>
      <c r="AB34" s="16"/>
      <c r="AC34" s="17"/>
      <c r="AD34" s="15"/>
      <c r="AE34" s="17"/>
      <c r="AF34" s="17"/>
    </row>
    <row r="35" spans="1:32" x14ac:dyDescent="0.35">
      <c r="A35" s="21" t="s">
        <v>134</v>
      </c>
      <c r="B35" s="7" t="s">
        <v>135</v>
      </c>
      <c r="C35" s="8">
        <v>45321</v>
      </c>
      <c r="D35" s="7" t="s">
        <v>136</v>
      </c>
      <c r="E35" s="9" t="s">
        <v>360</v>
      </c>
      <c r="F35" s="10" t="s">
        <v>43</v>
      </c>
      <c r="G35" s="10" t="s">
        <v>44</v>
      </c>
      <c r="H35" s="7" t="s">
        <v>137</v>
      </c>
      <c r="I35" s="11" t="s">
        <v>361</v>
      </c>
      <c r="J35" s="12">
        <v>10000</v>
      </c>
      <c r="K35" s="12"/>
      <c r="L35" s="13">
        <f t="shared" si="0"/>
        <v>10000</v>
      </c>
      <c r="M35" s="9">
        <v>2022</v>
      </c>
      <c r="N35" s="9" t="s">
        <v>362</v>
      </c>
      <c r="O35" s="9" t="s">
        <v>100</v>
      </c>
      <c r="P35" s="16" t="s">
        <v>365</v>
      </c>
      <c r="Q35" s="9" t="s">
        <v>102</v>
      </c>
      <c r="R35" s="9" t="s">
        <v>9</v>
      </c>
      <c r="S35" s="9" t="s">
        <v>9</v>
      </c>
      <c r="T35" s="9" t="s">
        <v>104</v>
      </c>
      <c r="U35" s="7" t="s">
        <v>378</v>
      </c>
      <c r="V35" s="15">
        <v>44936</v>
      </c>
      <c r="W35" s="7" t="s">
        <v>379</v>
      </c>
      <c r="X35" s="9" t="s">
        <v>104</v>
      </c>
      <c r="Y35" s="7" t="s">
        <v>380</v>
      </c>
      <c r="Z35" s="15">
        <v>44972</v>
      </c>
      <c r="AA35" s="7" t="s">
        <v>381</v>
      </c>
      <c r="AB35" s="9"/>
      <c r="AC35" s="11"/>
      <c r="AD35" s="8"/>
      <c r="AE35" s="11"/>
      <c r="AF35" s="11"/>
    </row>
    <row r="36" spans="1:32" x14ac:dyDescent="0.35">
      <c r="A36" s="20" t="s">
        <v>138</v>
      </c>
      <c r="B36" s="10" t="s">
        <v>139</v>
      </c>
      <c r="C36" s="15">
        <v>45320</v>
      </c>
      <c r="D36" s="10" t="s">
        <v>67</v>
      </c>
      <c r="E36" s="16" t="s">
        <v>204</v>
      </c>
      <c r="F36" s="10" t="s">
        <v>43</v>
      </c>
      <c r="G36" s="10" t="s">
        <v>44</v>
      </c>
      <c r="H36" s="10" t="s">
        <v>140</v>
      </c>
      <c r="I36" s="39" t="s">
        <v>315</v>
      </c>
      <c r="J36">
        <v>65000</v>
      </c>
      <c r="K36" s="18"/>
      <c r="L36" s="19">
        <f t="shared" si="0"/>
        <v>65000</v>
      </c>
      <c r="M36" s="16"/>
      <c r="N36" s="16"/>
      <c r="O36" s="16"/>
      <c r="P36" s="16"/>
      <c r="Q36" s="16"/>
      <c r="R36" s="16"/>
      <c r="S36" s="16"/>
      <c r="T36" s="16"/>
      <c r="U36" s="17"/>
      <c r="V36" s="15"/>
      <c r="W36" s="17"/>
      <c r="X36" s="16"/>
      <c r="Y36" s="17"/>
      <c r="Z36" s="15"/>
      <c r="AA36" s="17"/>
      <c r="AB36" s="16"/>
      <c r="AC36" s="17"/>
      <c r="AD36" s="15"/>
      <c r="AE36" s="17"/>
      <c r="AF36" s="17"/>
    </row>
    <row r="37" spans="1:32" x14ac:dyDescent="0.35">
      <c r="A37" s="6" t="s">
        <v>141</v>
      </c>
      <c r="B37" s="7" t="s">
        <v>142</v>
      </c>
      <c r="C37" s="8">
        <v>45321</v>
      </c>
      <c r="D37" s="7" t="s">
        <v>143</v>
      </c>
      <c r="E37" s="9"/>
      <c r="F37" s="10" t="s">
        <v>43</v>
      </c>
      <c r="G37" s="10" t="s">
        <v>44</v>
      </c>
      <c r="H37" s="7" t="s">
        <v>144</v>
      </c>
      <c r="I37" s="11"/>
      <c r="J37" s="12"/>
      <c r="K37" s="12"/>
      <c r="L37" s="13">
        <f t="shared" si="0"/>
        <v>0</v>
      </c>
      <c r="M37" s="9"/>
      <c r="N37" s="9"/>
      <c r="O37" s="9"/>
      <c r="P37" s="9"/>
      <c r="Q37" s="9"/>
      <c r="R37" s="9"/>
      <c r="S37" s="9"/>
      <c r="T37" s="9"/>
      <c r="U37" s="11"/>
      <c r="V37" s="8"/>
      <c r="W37" s="11"/>
      <c r="X37" s="9"/>
      <c r="Y37" s="11"/>
      <c r="Z37" s="8"/>
      <c r="AA37" s="11"/>
      <c r="AB37" s="9"/>
      <c r="AC37" s="11"/>
      <c r="AD37" s="8"/>
      <c r="AE37" s="11"/>
      <c r="AF37" s="11"/>
    </row>
    <row r="38" spans="1:32" x14ac:dyDescent="0.35">
      <c r="A38" s="21" t="s">
        <v>145</v>
      </c>
      <c r="B38" s="10" t="s">
        <v>146</v>
      </c>
      <c r="C38" s="15">
        <v>45320</v>
      </c>
      <c r="D38" s="10" t="s">
        <v>67</v>
      </c>
      <c r="E38" s="16" t="s">
        <v>360</v>
      </c>
      <c r="F38" s="10" t="s">
        <v>43</v>
      </c>
      <c r="G38" s="10" t="s">
        <v>44</v>
      </c>
      <c r="H38" s="10" t="s">
        <v>147</v>
      </c>
      <c r="I38" s="17" t="s">
        <v>361</v>
      </c>
      <c r="J38" s="18">
        <v>10000</v>
      </c>
      <c r="K38" s="18"/>
      <c r="L38" s="19">
        <f t="shared" si="0"/>
        <v>10000</v>
      </c>
      <c r="M38" s="16">
        <v>2023</v>
      </c>
      <c r="N38" s="16" t="s">
        <v>362</v>
      </c>
      <c r="O38" s="16" t="s">
        <v>352</v>
      </c>
      <c r="P38" s="16" t="s">
        <v>317</v>
      </c>
      <c r="Q38" s="16" t="s">
        <v>209</v>
      </c>
      <c r="R38" s="16" t="s">
        <v>9</v>
      </c>
      <c r="S38" s="16" t="s">
        <v>9</v>
      </c>
      <c r="T38" s="16" t="s">
        <v>104</v>
      </c>
      <c r="U38" s="10" t="s">
        <v>382</v>
      </c>
      <c r="V38" s="15">
        <v>45224</v>
      </c>
      <c r="W38" s="10" t="s">
        <v>383</v>
      </c>
      <c r="X38" s="16"/>
      <c r="Y38" s="17"/>
      <c r="Z38" s="15"/>
      <c r="AA38" s="17"/>
      <c r="AB38" s="16"/>
      <c r="AC38" s="17"/>
      <c r="AD38" s="15"/>
      <c r="AE38" s="17"/>
      <c r="AF38" s="17"/>
    </row>
    <row r="39" spans="1:32" x14ac:dyDescent="0.35">
      <c r="A39" s="20" t="s">
        <v>148</v>
      </c>
      <c r="B39" s="7" t="s">
        <v>407</v>
      </c>
      <c r="C39" s="8">
        <v>45320</v>
      </c>
      <c r="D39" s="7" t="s">
        <v>411</v>
      </c>
      <c r="E39" s="16" t="s">
        <v>332</v>
      </c>
      <c r="F39" s="10" t="s">
        <v>43</v>
      </c>
      <c r="G39" s="10" t="s">
        <v>44</v>
      </c>
      <c r="H39" s="7" t="s">
        <v>149</v>
      </c>
      <c r="I39" s="39" t="s">
        <v>313</v>
      </c>
      <c r="J39" s="12"/>
      <c r="K39" s="12"/>
      <c r="L39" s="13">
        <f t="shared" si="0"/>
        <v>0</v>
      </c>
      <c r="M39" s="9"/>
      <c r="N39" s="9"/>
      <c r="O39" s="9"/>
      <c r="P39" s="9"/>
      <c r="Q39" s="9"/>
      <c r="R39" s="9"/>
      <c r="S39" s="9"/>
      <c r="T39" s="9"/>
      <c r="U39" s="11"/>
      <c r="V39" s="8"/>
      <c r="W39" s="11"/>
      <c r="X39" s="9"/>
      <c r="Y39" s="11"/>
      <c r="Z39" s="8"/>
      <c r="AA39" s="11"/>
      <c r="AB39" s="9"/>
      <c r="AC39" s="11"/>
      <c r="AD39" s="8"/>
      <c r="AE39" s="11"/>
      <c r="AF39" s="11"/>
    </row>
    <row r="40" spans="1:32" ht="15" thickBot="1" x14ac:dyDescent="0.4">
      <c r="A40" s="21" t="s">
        <v>150</v>
      </c>
      <c r="B40" s="10" t="s">
        <v>151</v>
      </c>
      <c r="C40" s="15">
        <v>45321</v>
      </c>
      <c r="D40" s="10" t="s">
        <v>152</v>
      </c>
      <c r="E40" s="16" t="s">
        <v>360</v>
      </c>
      <c r="F40" s="10" t="s">
        <v>43</v>
      </c>
      <c r="G40" s="10" t="s">
        <v>44</v>
      </c>
      <c r="H40" s="10" t="s">
        <v>153</v>
      </c>
      <c r="I40" s="17" t="s">
        <v>361</v>
      </c>
      <c r="J40" s="18">
        <v>10000</v>
      </c>
      <c r="K40" s="18"/>
      <c r="L40" s="19">
        <f t="shared" si="0"/>
        <v>10000</v>
      </c>
      <c r="M40" s="16">
        <v>2022</v>
      </c>
      <c r="N40" s="16" t="s">
        <v>362</v>
      </c>
      <c r="O40" s="16" t="s">
        <v>100</v>
      </c>
      <c r="P40" s="16" t="s">
        <v>365</v>
      </c>
      <c r="Q40" s="16" t="s">
        <v>209</v>
      </c>
      <c r="R40" s="16" t="s">
        <v>9</v>
      </c>
      <c r="S40" s="16" t="s">
        <v>9</v>
      </c>
      <c r="T40" s="16" t="s">
        <v>104</v>
      </c>
      <c r="U40" s="10" t="s">
        <v>384</v>
      </c>
      <c r="V40" s="15">
        <v>44823</v>
      </c>
      <c r="W40" s="10" t="s">
        <v>385</v>
      </c>
      <c r="X40" s="16"/>
      <c r="Y40" s="17"/>
      <c r="Z40" s="15"/>
      <c r="AA40" s="17"/>
      <c r="AB40" s="16"/>
      <c r="AC40" s="17"/>
      <c r="AD40" s="15"/>
      <c r="AE40" s="17"/>
      <c r="AF40" s="17"/>
    </row>
    <row r="41" spans="1:32" x14ac:dyDescent="0.35">
      <c r="A41" s="33" t="s">
        <v>154</v>
      </c>
      <c r="B41" s="23" t="s">
        <v>155</v>
      </c>
      <c r="C41" s="8">
        <v>45321</v>
      </c>
      <c r="D41" s="23" t="s">
        <v>91</v>
      </c>
      <c r="E41" s="24" t="s">
        <v>360</v>
      </c>
      <c r="F41" s="10" t="s">
        <v>43</v>
      </c>
      <c r="G41" s="10" t="s">
        <v>44</v>
      </c>
      <c r="H41" s="23" t="s">
        <v>156</v>
      </c>
      <c r="I41" s="25" t="s">
        <v>361</v>
      </c>
      <c r="J41" s="26">
        <v>10000</v>
      </c>
      <c r="K41" s="26"/>
      <c r="L41" s="27">
        <f t="shared" si="0"/>
        <v>10000</v>
      </c>
      <c r="M41" s="24">
        <v>2023</v>
      </c>
      <c r="N41" s="24" t="s">
        <v>362</v>
      </c>
      <c r="O41" s="24" t="s">
        <v>100</v>
      </c>
      <c r="P41" s="16" t="s">
        <v>365</v>
      </c>
      <c r="Q41" s="24" t="s">
        <v>366</v>
      </c>
      <c r="R41" s="24" t="s">
        <v>9</v>
      </c>
      <c r="S41" s="24" t="s">
        <v>9</v>
      </c>
      <c r="T41" s="24" t="s">
        <v>104</v>
      </c>
      <c r="U41" s="10" t="s">
        <v>367</v>
      </c>
      <c r="V41" s="15">
        <v>44684</v>
      </c>
      <c r="W41" s="10" t="s">
        <v>368</v>
      </c>
      <c r="X41" s="16" t="s">
        <v>104</v>
      </c>
      <c r="Y41" s="10" t="s">
        <v>367</v>
      </c>
      <c r="Z41" s="15">
        <v>44713</v>
      </c>
      <c r="AA41" s="10" t="s">
        <v>369</v>
      </c>
      <c r="AB41" s="24"/>
      <c r="AC41" s="25"/>
      <c r="AD41" s="28"/>
      <c r="AE41" s="25"/>
      <c r="AF41" s="25"/>
    </row>
    <row r="42" spans="1:32" x14ac:dyDescent="0.35">
      <c r="A42" s="21" t="s">
        <v>157</v>
      </c>
      <c r="B42" s="10" t="s">
        <v>158</v>
      </c>
      <c r="C42" s="15">
        <v>45321</v>
      </c>
      <c r="D42" s="10" t="s">
        <v>159</v>
      </c>
      <c r="E42" s="16" t="s">
        <v>360</v>
      </c>
      <c r="F42" s="10" t="s">
        <v>43</v>
      </c>
      <c r="G42" s="10" t="s">
        <v>44</v>
      </c>
      <c r="H42" s="10" t="s">
        <v>160</v>
      </c>
      <c r="I42" s="17" t="s">
        <v>361</v>
      </c>
      <c r="J42" s="18">
        <v>10000</v>
      </c>
      <c r="K42" s="18"/>
      <c r="L42" s="19">
        <f t="shared" si="0"/>
        <v>10000</v>
      </c>
      <c r="M42" s="16">
        <v>2023</v>
      </c>
      <c r="N42" s="16" t="s">
        <v>362</v>
      </c>
      <c r="O42" s="16" t="s">
        <v>100</v>
      </c>
      <c r="P42" s="16" t="s">
        <v>365</v>
      </c>
      <c r="Q42" s="16" t="s">
        <v>102</v>
      </c>
      <c r="R42" s="16" t="s">
        <v>9</v>
      </c>
      <c r="S42" s="16" t="s">
        <v>9</v>
      </c>
      <c r="T42" s="16" t="s">
        <v>104</v>
      </c>
      <c r="U42" s="10" t="s">
        <v>386</v>
      </c>
      <c r="V42" s="15">
        <v>45174</v>
      </c>
      <c r="W42" s="10" t="s">
        <v>387</v>
      </c>
      <c r="X42" s="16" t="s">
        <v>104</v>
      </c>
      <c r="Y42" s="10" t="s">
        <v>388</v>
      </c>
      <c r="Z42" s="15">
        <v>45206</v>
      </c>
      <c r="AA42" s="17" t="s">
        <v>387</v>
      </c>
      <c r="AB42" s="16"/>
      <c r="AC42" s="17"/>
      <c r="AD42" s="15"/>
      <c r="AE42" s="17"/>
      <c r="AF42" s="17"/>
    </row>
    <row r="43" spans="1:32" x14ac:dyDescent="0.35">
      <c r="A43" s="20" t="s">
        <v>161</v>
      </c>
      <c r="B43" s="7" t="s">
        <v>162</v>
      </c>
      <c r="C43" s="8">
        <v>45320</v>
      </c>
      <c r="D43" s="7" t="s">
        <v>67</v>
      </c>
      <c r="E43" s="9" t="s">
        <v>331</v>
      </c>
      <c r="F43" s="10" t="s">
        <v>43</v>
      </c>
      <c r="G43" s="10" t="s">
        <v>44</v>
      </c>
      <c r="H43" s="7" t="s">
        <v>310</v>
      </c>
      <c r="I43" t="s">
        <v>312</v>
      </c>
      <c r="J43" s="12"/>
      <c r="K43" s="12"/>
      <c r="L43" s="13">
        <f t="shared" si="0"/>
        <v>0</v>
      </c>
      <c r="M43" s="9"/>
      <c r="N43" s="9"/>
      <c r="O43" s="9"/>
      <c r="P43" s="9"/>
      <c r="Q43" s="9"/>
      <c r="R43" s="9"/>
      <c r="S43" s="9"/>
      <c r="T43" s="9"/>
      <c r="U43" s="11"/>
      <c r="V43" s="8"/>
      <c r="W43" s="11"/>
      <c r="X43" s="9"/>
      <c r="Y43" s="11"/>
      <c r="Z43" s="8"/>
      <c r="AA43" s="11"/>
      <c r="AB43" s="9"/>
      <c r="AC43" s="11"/>
      <c r="AD43" s="8"/>
      <c r="AE43" s="11"/>
      <c r="AF43" s="11"/>
    </row>
    <row r="44" spans="1:32" x14ac:dyDescent="0.35">
      <c r="A44" s="14" t="s">
        <v>163</v>
      </c>
      <c r="B44" s="10" t="s">
        <v>164</v>
      </c>
      <c r="C44" s="15">
        <v>45321</v>
      </c>
      <c r="D44" s="10" t="s">
        <v>82</v>
      </c>
      <c r="E44" s="16" t="s">
        <v>326</v>
      </c>
      <c r="F44" s="10" t="s">
        <v>43</v>
      </c>
      <c r="G44" s="10" t="s">
        <v>44</v>
      </c>
      <c r="H44" s="10" t="s">
        <v>165</v>
      </c>
      <c r="I44" s="10" t="s">
        <v>325</v>
      </c>
      <c r="J44" s="18">
        <v>190000</v>
      </c>
      <c r="K44" s="18"/>
      <c r="L44" s="19">
        <f t="shared" si="0"/>
        <v>190000</v>
      </c>
      <c r="M44" s="16">
        <v>2022</v>
      </c>
      <c r="N44" s="16" t="s">
        <v>326</v>
      </c>
      <c r="O44" s="16" t="s">
        <v>100</v>
      </c>
      <c r="P44" s="16" t="s">
        <v>317</v>
      </c>
      <c r="Q44" s="16" t="s">
        <v>209</v>
      </c>
      <c r="R44" s="16" t="s">
        <v>9</v>
      </c>
      <c r="S44" s="16" t="s">
        <v>9</v>
      </c>
      <c r="T44" s="16" t="s">
        <v>104</v>
      </c>
      <c r="U44" s="17" t="s">
        <v>342</v>
      </c>
      <c r="V44" s="15">
        <v>44581</v>
      </c>
      <c r="W44" s="17" t="s">
        <v>343</v>
      </c>
      <c r="X44" s="16" t="s">
        <v>104</v>
      </c>
      <c r="Y44" s="17" t="s">
        <v>344</v>
      </c>
      <c r="Z44" s="15">
        <v>44588</v>
      </c>
      <c r="AA44" s="17" t="s">
        <v>345</v>
      </c>
      <c r="AB44" s="16" t="s">
        <v>104</v>
      </c>
      <c r="AC44" s="17" t="s">
        <v>342</v>
      </c>
      <c r="AD44" s="15">
        <v>44594</v>
      </c>
      <c r="AE44" s="17" t="s">
        <v>330</v>
      </c>
      <c r="AF44" s="17"/>
    </row>
    <row r="45" spans="1:32" x14ac:dyDescent="0.35">
      <c r="A45" s="20" t="s">
        <v>166</v>
      </c>
      <c r="B45" s="7" t="s">
        <v>167</v>
      </c>
      <c r="C45" s="8">
        <v>45320</v>
      </c>
      <c r="D45" s="7" t="s">
        <v>67</v>
      </c>
      <c r="E45" s="16" t="s">
        <v>332</v>
      </c>
      <c r="F45" s="10" t="s">
        <v>43</v>
      </c>
      <c r="G45" s="10" t="s">
        <v>44</v>
      </c>
      <c r="H45" s="7" t="s">
        <v>168</v>
      </c>
      <c r="I45" t="s">
        <v>313</v>
      </c>
      <c r="J45" s="12"/>
      <c r="K45" s="12"/>
      <c r="L45" s="13">
        <f t="shared" si="0"/>
        <v>0</v>
      </c>
      <c r="M45" s="9"/>
      <c r="N45" s="9"/>
      <c r="O45" s="9"/>
      <c r="P45" s="9"/>
      <c r="Q45" s="9"/>
      <c r="R45" s="9"/>
      <c r="S45" s="9"/>
      <c r="T45" s="9"/>
      <c r="U45" s="11"/>
      <c r="V45" s="8"/>
      <c r="W45" s="11"/>
      <c r="X45" s="9"/>
      <c r="Y45" s="11"/>
      <c r="Z45" s="8"/>
      <c r="AA45" s="11"/>
      <c r="AB45" s="9"/>
      <c r="AC45" s="11"/>
      <c r="AD45" s="8"/>
      <c r="AE45" s="11"/>
      <c r="AF45" s="11"/>
    </row>
    <row r="46" spans="1:32" x14ac:dyDescent="0.35">
      <c r="A46" s="14" t="s">
        <v>169</v>
      </c>
      <c r="B46" s="10" t="s">
        <v>170</v>
      </c>
      <c r="C46" s="15">
        <v>45320</v>
      </c>
      <c r="D46" s="10" t="s">
        <v>78</v>
      </c>
      <c r="E46" s="16" t="s">
        <v>99</v>
      </c>
      <c r="F46" s="10" t="s">
        <v>43</v>
      </c>
      <c r="G46" s="10" t="s">
        <v>44</v>
      </c>
      <c r="H46" s="10" t="s">
        <v>171</v>
      </c>
      <c r="I46" s="17" t="s">
        <v>339</v>
      </c>
      <c r="J46" s="18">
        <v>160000</v>
      </c>
      <c r="K46" s="18"/>
      <c r="L46" s="19">
        <f t="shared" si="0"/>
        <v>160000</v>
      </c>
      <c r="M46" s="16">
        <v>1024</v>
      </c>
      <c r="N46" s="16" t="s">
        <v>326</v>
      </c>
      <c r="O46" s="16" t="s">
        <v>100</v>
      </c>
      <c r="P46" s="16" t="s">
        <v>317</v>
      </c>
      <c r="Q46" s="16" t="s">
        <v>209</v>
      </c>
      <c r="R46" s="16" t="s">
        <v>103</v>
      </c>
      <c r="S46" s="16" t="s">
        <v>9</v>
      </c>
      <c r="T46" s="16"/>
      <c r="U46" s="17"/>
      <c r="V46" s="15"/>
      <c r="W46" s="17"/>
      <c r="X46" s="16"/>
      <c r="Y46" s="17"/>
      <c r="Z46" s="15"/>
      <c r="AA46" s="17"/>
      <c r="AB46" s="16"/>
      <c r="AC46" s="17"/>
      <c r="AD46" s="15"/>
      <c r="AE46" s="17"/>
      <c r="AF46" s="17"/>
    </row>
    <row r="47" spans="1:32" x14ac:dyDescent="0.35">
      <c r="A47" s="14" t="s">
        <v>172</v>
      </c>
      <c r="B47" s="7" t="s">
        <v>173</v>
      </c>
      <c r="C47" s="8">
        <v>45320</v>
      </c>
      <c r="D47" s="7" t="s">
        <v>174</v>
      </c>
      <c r="E47" s="9" t="s">
        <v>326</v>
      </c>
      <c r="F47" s="10" t="s">
        <v>43</v>
      </c>
      <c r="G47" s="10" t="s">
        <v>44</v>
      </c>
      <c r="H47" s="7" t="s">
        <v>175</v>
      </c>
      <c r="I47" s="10" t="s">
        <v>325</v>
      </c>
      <c r="J47" s="18">
        <v>190000</v>
      </c>
      <c r="K47" s="12"/>
      <c r="L47" s="13">
        <f t="shared" si="0"/>
        <v>190000</v>
      </c>
      <c r="M47" s="9">
        <v>2023</v>
      </c>
      <c r="N47" s="9" t="s">
        <v>346</v>
      </c>
      <c r="O47" s="9" t="s">
        <v>100</v>
      </c>
      <c r="P47" s="9" t="s">
        <v>317</v>
      </c>
      <c r="Q47" s="9" t="s">
        <v>209</v>
      </c>
      <c r="R47" s="9" t="s">
        <v>9</v>
      </c>
      <c r="S47" s="9" t="s">
        <v>9</v>
      </c>
      <c r="T47" s="9"/>
      <c r="U47" s="11"/>
      <c r="V47" s="8"/>
      <c r="W47" s="11"/>
      <c r="X47" s="9"/>
      <c r="Y47" s="11"/>
      <c r="Z47" s="8"/>
      <c r="AA47" s="11"/>
      <c r="AB47" s="9"/>
      <c r="AC47" s="11"/>
      <c r="AD47" s="8"/>
      <c r="AE47" s="11"/>
      <c r="AF47" s="11"/>
    </row>
    <row r="48" spans="1:32" x14ac:dyDescent="0.35">
      <c r="A48" s="20" t="s">
        <v>176</v>
      </c>
      <c r="B48" s="10" t="s">
        <v>177</v>
      </c>
      <c r="C48" s="15">
        <v>45320</v>
      </c>
      <c r="D48" s="10" t="s">
        <v>52</v>
      </c>
      <c r="E48" s="9" t="s">
        <v>331</v>
      </c>
      <c r="F48" s="10" t="s">
        <v>43</v>
      </c>
      <c r="G48" s="10" t="s">
        <v>44</v>
      </c>
      <c r="H48" s="10" t="s">
        <v>178</v>
      </c>
      <c r="I48" s="38" t="s">
        <v>311</v>
      </c>
      <c r="J48" s="18"/>
      <c r="K48" s="18"/>
      <c r="L48" s="19">
        <f t="shared" si="0"/>
        <v>0</v>
      </c>
      <c r="M48" s="16"/>
      <c r="N48" s="16"/>
      <c r="O48" s="16"/>
      <c r="P48" s="16"/>
      <c r="Q48" s="16"/>
      <c r="R48" s="16"/>
      <c r="S48" s="16"/>
      <c r="T48" s="16"/>
      <c r="U48" s="17"/>
      <c r="V48" s="15"/>
      <c r="W48" s="17"/>
      <c r="X48" s="16"/>
      <c r="Y48" s="17"/>
      <c r="Z48" s="15"/>
      <c r="AA48" s="17"/>
      <c r="AB48" s="16"/>
      <c r="AC48" s="17"/>
      <c r="AD48" s="15"/>
      <c r="AE48" s="17"/>
      <c r="AF48" s="17"/>
    </row>
    <row r="49" spans="1:32" x14ac:dyDescent="0.35">
      <c r="A49" s="6" t="s">
        <v>179</v>
      </c>
      <c r="B49" s="7" t="s">
        <v>180</v>
      </c>
      <c r="C49" s="8">
        <v>45321</v>
      </c>
      <c r="D49" s="7" t="s">
        <v>60</v>
      </c>
      <c r="E49" s="9"/>
      <c r="F49" s="10" t="s">
        <v>43</v>
      </c>
      <c r="G49" s="10" t="s">
        <v>44</v>
      </c>
      <c r="H49" s="7" t="s">
        <v>181</v>
      </c>
      <c r="I49" s="11"/>
      <c r="J49" s="12"/>
      <c r="K49" s="12"/>
      <c r="L49" s="13">
        <f t="shared" si="0"/>
        <v>0</v>
      </c>
      <c r="M49" s="9"/>
      <c r="N49" s="9"/>
      <c r="O49" s="9"/>
      <c r="P49" s="9"/>
      <c r="Q49" s="9"/>
      <c r="R49" s="9"/>
      <c r="S49" s="9"/>
      <c r="T49" s="9"/>
      <c r="U49" s="11"/>
      <c r="V49" s="8"/>
      <c r="W49" s="11"/>
      <c r="X49" s="9"/>
      <c r="Y49" s="11"/>
      <c r="Z49" s="8"/>
      <c r="AA49" s="11"/>
      <c r="AB49" s="9"/>
      <c r="AC49" s="11"/>
      <c r="AD49" s="8"/>
      <c r="AE49" s="11"/>
      <c r="AF49" s="11"/>
    </row>
    <row r="50" spans="1:32" ht="15" thickBot="1" x14ac:dyDescent="0.4">
      <c r="A50" s="20" t="s">
        <v>182</v>
      </c>
      <c r="B50" s="10" t="s">
        <v>183</v>
      </c>
      <c r="C50" s="15">
        <v>45320</v>
      </c>
      <c r="D50" s="10" t="s">
        <v>52</v>
      </c>
      <c r="E50" s="9" t="s">
        <v>331</v>
      </c>
      <c r="F50" s="10" t="s">
        <v>43</v>
      </c>
      <c r="G50" s="10" t="s">
        <v>44</v>
      </c>
      <c r="H50" s="10" t="s">
        <v>184</v>
      </c>
      <c r="I50" s="39" t="s">
        <v>324</v>
      </c>
      <c r="J50" s="18"/>
      <c r="K50" s="18"/>
      <c r="L50" s="19">
        <f t="shared" si="0"/>
        <v>0</v>
      </c>
      <c r="M50" s="16"/>
      <c r="N50" s="16"/>
      <c r="O50" s="16"/>
      <c r="P50" s="16"/>
      <c r="Q50" s="16"/>
      <c r="R50" s="16"/>
      <c r="S50" s="16"/>
      <c r="T50" s="16"/>
      <c r="U50" s="17"/>
      <c r="V50" s="15"/>
      <c r="W50" s="17"/>
      <c r="X50" s="16"/>
      <c r="Y50" s="17"/>
      <c r="Z50" s="15"/>
      <c r="AA50" s="17"/>
      <c r="AB50" s="16"/>
      <c r="AC50" s="17"/>
      <c r="AD50" s="15"/>
      <c r="AE50" s="17"/>
      <c r="AF50" s="17"/>
    </row>
    <row r="51" spans="1:32" x14ac:dyDescent="0.35">
      <c r="A51" s="34" t="s">
        <v>185</v>
      </c>
      <c r="B51" s="23" t="s">
        <v>186</v>
      </c>
      <c r="C51" s="8">
        <v>45320</v>
      </c>
      <c r="D51" s="23" t="s">
        <v>52</v>
      </c>
      <c r="E51" s="9" t="s">
        <v>331</v>
      </c>
      <c r="F51" s="10" t="s">
        <v>43</v>
      </c>
      <c r="G51" s="10" t="s">
        <v>44</v>
      </c>
      <c r="H51" s="23" t="s">
        <v>187</v>
      </c>
      <c r="I51" s="39" t="s">
        <v>324</v>
      </c>
      <c r="J51" s="26"/>
      <c r="K51" s="26"/>
      <c r="L51" s="27">
        <f t="shared" si="0"/>
        <v>0</v>
      </c>
      <c r="M51" s="24"/>
      <c r="N51" s="24"/>
      <c r="O51" s="24"/>
      <c r="P51" s="24"/>
      <c r="Q51" s="24"/>
      <c r="R51" s="24"/>
      <c r="S51" s="24"/>
      <c r="T51" s="24"/>
      <c r="U51" s="25"/>
      <c r="V51" s="28"/>
      <c r="W51" s="25"/>
      <c r="X51" s="24"/>
      <c r="Y51" s="25"/>
      <c r="Z51" s="28"/>
      <c r="AA51" s="25"/>
      <c r="AB51" s="24"/>
      <c r="AC51" s="25"/>
      <c r="AD51" s="28"/>
      <c r="AE51" s="25"/>
      <c r="AF51" s="25"/>
    </row>
    <row r="52" spans="1:32" x14ac:dyDescent="0.35">
      <c r="A52" s="20" t="s">
        <v>188</v>
      </c>
      <c r="B52" s="10" t="s">
        <v>189</v>
      </c>
      <c r="C52" s="15">
        <v>45320</v>
      </c>
      <c r="D52" s="10" t="s">
        <v>67</v>
      </c>
      <c r="E52" s="16" t="s">
        <v>204</v>
      </c>
      <c r="F52" s="10" t="s">
        <v>43</v>
      </c>
      <c r="G52" s="10" t="s">
        <v>44</v>
      </c>
      <c r="H52" s="10" t="s">
        <v>190</v>
      </c>
      <c r="I52" t="s">
        <v>315</v>
      </c>
      <c r="J52">
        <v>65000</v>
      </c>
      <c r="K52" s="18"/>
      <c r="L52" s="19">
        <f t="shared" si="0"/>
        <v>65000</v>
      </c>
      <c r="M52" s="16"/>
      <c r="N52" s="16"/>
      <c r="O52" s="16"/>
      <c r="P52" s="16"/>
      <c r="Q52" s="16"/>
      <c r="R52" s="16"/>
      <c r="S52" s="16"/>
      <c r="T52" s="16"/>
      <c r="U52" s="17"/>
      <c r="V52" s="15"/>
      <c r="W52" s="17"/>
      <c r="X52" s="16"/>
      <c r="Y52" s="17"/>
      <c r="Z52" s="15"/>
      <c r="AA52" s="17"/>
      <c r="AB52" s="16"/>
      <c r="AC52" s="17"/>
      <c r="AD52" s="15"/>
      <c r="AE52" s="17"/>
      <c r="AF52" s="17"/>
    </row>
    <row r="53" spans="1:32" x14ac:dyDescent="0.35">
      <c r="A53" s="6" t="s">
        <v>191</v>
      </c>
      <c r="B53" s="7" t="s">
        <v>192</v>
      </c>
      <c r="C53" s="8">
        <v>45320</v>
      </c>
      <c r="D53" s="7" t="s">
        <v>74</v>
      </c>
      <c r="E53" s="9"/>
      <c r="F53" s="10" t="s">
        <v>43</v>
      </c>
      <c r="G53" s="10" t="s">
        <v>44</v>
      </c>
      <c r="H53" s="7" t="s">
        <v>193</v>
      </c>
      <c r="I53" s="11"/>
      <c r="J53" s="12"/>
      <c r="K53" s="12"/>
      <c r="L53" s="13">
        <f t="shared" si="0"/>
        <v>0</v>
      </c>
      <c r="M53" s="9"/>
      <c r="N53" s="9"/>
      <c r="O53" s="9"/>
      <c r="P53" s="9"/>
      <c r="Q53" s="9"/>
      <c r="R53" s="9"/>
      <c r="S53" s="9"/>
      <c r="T53" s="9"/>
      <c r="U53" s="11"/>
      <c r="V53" s="8"/>
      <c r="W53" s="11"/>
      <c r="X53" s="9"/>
      <c r="Y53" s="11"/>
      <c r="Z53" s="8"/>
      <c r="AA53" s="11"/>
      <c r="AB53" s="9"/>
      <c r="AC53" s="11"/>
      <c r="AD53" s="8"/>
      <c r="AE53" s="11"/>
      <c r="AF53" s="11"/>
    </row>
    <row r="54" spans="1:32" x14ac:dyDescent="0.35">
      <c r="A54" s="20" t="s">
        <v>194</v>
      </c>
      <c r="B54" s="10" t="s">
        <v>195</v>
      </c>
      <c r="C54" s="15">
        <v>45320</v>
      </c>
      <c r="D54" s="10" t="s">
        <v>128</v>
      </c>
      <c r="E54" s="9" t="s">
        <v>331</v>
      </c>
      <c r="F54" s="10" t="s">
        <v>43</v>
      </c>
      <c r="G54" s="10" t="s">
        <v>44</v>
      </c>
      <c r="H54" s="10" t="s">
        <v>196</v>
      </c>
      <c r="I54" t="s">
        <v>314</v>
      </c>
      <c r="J54" s="18"/>
      <c r="K54" s="18"/>
      <c r="L54" s="19">
        <f t="shared" si="0"/>
        <v>0</v>
      </c>
      <c r="M54" s="16"/>
      <c r="N54" s="16"/>
      <c r="O54" s="16"/>
      <c r="P54" s="16"/>
      <c r="Q54" s="16"/>
      <c r="R54" s="16"/>
      <c r="S54" s="16"/>
      <c r="T54" s="16"/>
      <c r="U54" s="17"/>
      <c r="V54" s="15"/>
      <c r="W54" s="17"/>
      <c r="X54" s="16"/>
      <c r="Y54" s="17"/>
      <c r="Z54" s="15"/>
      <c r="AA54" s="17"/>
      <c r="AB54" s="16"/>
      <c r="AC54" s="17"/>
      <c r="AD54" s="15"/>
      <c r="AE54" s="17"/>
      <c r="AF54" s="17"/>
    </row>
    <row r="55" spans="1:32" x14ac:dyDescent="0.35">
      <c r="A55" s="14" t="s">
        <v>197</v>
      </c>
      <c r="B55" s="7" t="s">
        <v>198</v>
      </c>
      <c r="C55" s="8">
        <v>45321</v>
      </c>
      <c r="D55" s="7" t="s">
        <v>199</v>
      </c>
      <c r="E55" s="9" t="s">
        <v>99</v>
      </c>
      <c r="F55" s="10" t="s">
        <v>43</v>
      </c>
      <c r="G55" s="10" t="s">
        <v>44</v>
      </c>
      <c r="H55" s="7" t="s">
        <v>200</v>
      </c>
      <c r="I55" s="11" t="s">
        <v>339</v>
      </c>
      <c r="J55" s="12">
        <v>160000</v>
      </c>
      <c r="K55" s="12"/>
      <c r="L55" s="13">
        <f t="shared" si="0"/>
        <v>160000</v>
      </c>
      <c r="M55" s="9">
        <v>1024</v>
      </c>
      <c r="N55" s="9" t="s">
        <v>326</v>
      </c>
      <c r="O55" s="9" t="s">
        <v>100</v>
      </c>
      <c r="P55" s="9" t="s">
        <v>317</v>
      </c>
      <c r="Q55" s="9" t="s">
        <v>209</v>
      </c>
      <c r="R55" s="9" t="s">
        <v>103</v>
      </c>
      <c r="S55" s="9" t="s">
        <v>9</v>
      </c>
      <c r="T55" s="9"/>
      <c r="U55" s="11"/>
      <c r="V55" s="8"/>
      <c r="W55" s="11"/>
      <c r="X55" s="9"/>
      <c r="Y55" s="11"/>
      <c r="Z55" s="8"/>
      <c r="AA55" s="11"/>
      <c r="AB55" s="9"/>
      <c r="AC55" s="11"/>
      <c r="AD55" s="8"/>
      <c r="AE55" s="11"/>
      <c r="AF55" s="11"/>
    </row>
    <row r="56" spans="1:32" x14ac:dyDescent="0.35">
      <c r="A56" s="35" t="s">
        <v>201</v>
      </c>
      <c r="B56" s="10" t="s">
        <v>202</v>
      </c>
      <c r="C56" s="15">
        <v>45320</v>
      </c>
      <c r="D56" s="10" t="s">
        <v>203</v>
      </c>
      <c r="E56" s="16" t="s">
        <v>204</v>
      </c>
      <c r="F56" s="10" t="s">
        <v>43</v>
      </c>
      <c r="G56" s="10" t="s">
        <v>44</v>
      </c>
      <c r="H56" s="10" t="s">
        <v>205</v>
      </c>
      <c r="I56" s="17" t="s">
        <v>206</v>
      </c>
      <c r="J56" s="18">
        <v>52500</v>
      </c>
      <c r="K56" s="18"/>
      <c r="L56" s="19">
        <f t="shared" si="0"/>
        <v>52500</v>
      </c>
      <c r="M56" s="16">
        <v>2023</v>
      </c>
      <c r="N56" s="16" t="s">
        <v>207</v>
      </c>
      <c r="O56" s="16" t="s">
        <v>100</v>
      </c>
      <c r="P56" s="16" t="s">
        <v>208</v>
      </c>
      <c r="Q56" s="16" t="s">
        <v>209</v>
      </c>
      <c r="R56" s="16" t="s">
        <v>9</v>
      </c>
      <c r="S56" s="16"/>
      <c r="T56" s="16" t="s">
        <v>104</v>
      </c>
      <c r="U56" s="17" t="s">
        <v>210</v>
      </c>
      <c r="V56" s="15">
        <v>45319</v>
      </c>
      <c r="W56" s="17" t="s">
        <v>211</v>
      </c>
      <c r="X56" s="16" t="s">
        <v>104</v>
      </c>
      <c r="Y56" s="17" t="s">
        <v>212</v>
      </c>
      <c r="Z56" s="15">
        <v>45319</v>
      </c>
      <c r="AA56" s="17" t="s">
        <v>213</v>
      </c>
      <c r="AB56" s="16" t="s">
        <v>214</v>
      </c>
      <c r="AC56" s="17" t="s">
        <v>215</v>
      </c>
      <c r="AD56" s="15">
        <v>45275</v>
      </c>
      <c r="AE56" s="17" t="s">
        <v>216</v>
      </c>
      <c r="AF56" s="17"/>
    </row>
    <row r="57" spans="1:32" x14ac:dyDescent="0.35">
      <c r="A57" s="21" t="s">
        <v>217</v>
      </c>
      <c r="B57" s="7" t="s">
        <v>218</v>
      </c>
      <c r="C57" s="8">
        <v>45321</v>
      </c>
      <c r="D57" s="7" t="s">
        <v>219</v>
      </c>
      <c r="E57" s="9" t="s">
        <v>360</v>
      </c>
      <c r="F57" s="10" t="s">
        <v>43</v>
      </c>
      <c r="G57" s="10" t="s">
        <v>44</v>
      </c>
      <c r="H57" s="7" t="s">
        <v>220</v>
      </c>
      <c r="I57" s="11" t="s">
        <v>361</v>
      </c>
      <c r="J57" s="12">
        <v>5000</v>
      </c>
      <c r="K57" s="12"/>
      <c r="L57" s="13">
        <f t="shared" si="0"/>
        <v>5000</v>
      </c>
      <c r="M57" s="9">
        <v>2023</v>
      </c>
      <c r="N57" s="9" t="s">
        <v>360</v>
      </c>
      <c r="O57" s="9" t="s">
        <v>352</v>
      </c>
      <c r="P57" s="9" t="s">
        <v>317</v>
      </c>
      <c r="Q57" s="9" t="s">
        <v>209</v>
      </c>
      <c r="R57" s="9" t="s">
        <v>9</v>
      </c>
      <c r="S57" s="9" t="s">
        <v>9</v>
      </c>
      <c r="T57" s="9" t="s">
        <v>104</v>
      </c>
      <c r="U57" s="7" t="s">
        <v>389</v>
      </c>
      <c r="V57" s="15">
        <v>45210</v>
      </c>
      <c r="W57" s="7" t="s">
        <v>390</v>
      </c>
      <c r="X57" s="9"/>
      <c r="Y57" s="11"/>
      <c r="Z57" s="8"/>
      <c r="AA57" s="11"/>
      <c r="AB57" s="9"/>
      <c r="AC57" s="11"/>
      <c r="AD57" s="8"/>
      <c r="AE57" s="11"/>
      <c r="AF57" s="11"/>
    </row>
    <row r="58" spans="1:32" x14ac:dyDescent="0.35">
      <c r="A58" s="21" t="s">
        <v>221</v>
      </c>
      <c r="B58" s="10" t="s">
        <v>222</v>
      </c>
      <c r="C58" s="15">
        <v>45321</v>
      </c>
      <c r="D58" s="10" t="s">
        <v>223</v>
      </c>
      <c r="E58" s="9" t="s">
        <v>360</v>
      </c>
      <c r="F58" s="10" t="s">
        <v>43</v>
      </c>
      <c r="G58" s="10" t="s">
        <v>44</v>
      </c>
      <c r="H58" s="10" t="s">
        <v>224</v>
      </c>
      <c r="I58" s="17" t="s">
        <v>361</v>
      </c>
      <c r="J58" s="18">
        <v>10000</v>
      </c>
      <c r="K58" s="18"/>
      <c r="L58" s="19">
        <f t="shared" si="0"/>
        <v>10000</v>
      </c>
      <c r="M58" s="16">
        <v>2023</v>
      </c>
      <c r="N58" s="16" t="s">
        <v>360</v>
      </c>
      <c r="O58" s="16" t="s">
        <v>100</v>
      </c>
      <c r="P58" s="16" t="s">
        <v>317</v>
      </c>
      <c r="Q58" s="16" t="s">
        <v>102</v>
      </c>
      <c r="R58" s="16" t="s">
        <v>9</v>
      </c>
      <c r="S58" s="16" t="s">
        <v>9</v>
      </c>
      <c r="T58" s="16" t="s">
        <v>104</v>
      </c>
      <c r="U58" s="10" t="s">
        <v>391</v>
      </c>
      <c r="V58" s="15">
        <v>45149</v>
      </c>
      <c r="W58" s="10" t="s">
        <v>392</v>
      </c>
      <c r="X58" s="16" t="s">
        <v>104</v>
      </c>
      <c r="Y58" s="10" t="s">
        <v>393</v>
      </c>
      <c r="Z58" s="15">
        <v>45173</v>
      </c>
      <c r="AA58" s="10" t="s">
        <v>394</v>
      </c>
      <c r="AB58" s="16"/>
      <c r="AC58" s="17"/>
      <c r="AD58" s="15"/>
      <c r="AE58" s="17"/>
      <c r="AF58" s="17"/>
    </row>
    <row r="59" spans="1:32" x14ac:dyDescent="0.35">
      <c r="A59" s="20" t="s">
        <v>225</v>
      </c>
      <c r="B59" s="7" t="s">
        <v>226</v>
      </c>
      <c r="C59" s="8">
        <v>45320</v>
      </c>
      <c r="D59" s="7" t="s">
        <v>67</v>
      </c>
      <c r="E59" s="9" t="s">
        <v>331</v>
      </c>
      <c r="F59" s="10" t="s">
        <v>43</v>
      </c>
      <c r="G59" s="10" t="s">
        <v>44</v>
      </c>
      <c r="H59" s="7" t="s">
        <v>227</v>
      </c>
      <c r="I59" s="39" t="s">
        <v>312</v>
      </c>
      <c r="J59" s="12"/>
      <c r="K59" s="12"/>
      <c r="L59" s="13">
        <f t="shared" si="0"/>
        <v>0</v>
      </c>
      <c r="M59" s="9"/>
      <c r="N59" s="9"/>
      <c r="O59" s="9"/>
      <c r="P59" s="9"/>
      <c r="Q59" s="9"/>
      <c r="R59" s="9"/>
      <c r="S59" s="9"/>
      <c r="T59" s="9"/>
      <c r="U59" s="11"/>
      <c r="V59" s="8"/>
      <c r="W59" s="11"/>
      <c r="X59" s="9"/>
      <c r="Y59" s="11"/>
      <c r="Z59" s="8"/>
      <c r="AA59" s="11"/>
      <c r="AB59" s="9"/>
      <c r="AC59" s="11"/>
      <c r="AD59" s="8"/>
      <c r="AE59" s="11"/>
      <c r="AF59" s="11"/>
    </row>
    <row r="60" spans="1:32" ht="15" thickBot="1" x14ac:dyDescent="0.4">
      <c r="A60" s="40" t="s">
        <v>228</v>
      </c>
      <c r="B60" s="10" t="s">
        <v>229</v>
      </c>
      <c r="C60" s="15">
        <v>45321</v>
      </c>
      <c r="D60" s="10" t="s">
        <v>230</v>
      </c>
      <c r="E60" s="16" t="s">
        <v>204</v>
      </c>
      <c r="F60" s="10" t="s">
        <v>43</v>
      </c>
      <c r="G60" s="10" t="s">
        <v>44</v>
      </c>
      <c r="H60" s="10" t="s">
        <v>231</v>
      </c>
      <c r="I60" s="11" t="s">
        <v>354</v>
      </c>
      <c r="J60" s="12">
        <v>62500</v>
      </c>
      <c r="K60" s="12"/>
      <c r="L60" s="13">
        <f t="shared" si="0"/>
        <v>62500</v>
      </c>
      <c r="M60" s="9">
        <v>2023</v>
      </c>
      <c r="N60" s="9" t="s">
        <v>204</v>
      </c>
      <c r="O60" s="9" t="s">
        <v>100</v>
      </c>
      <c r="P60" s="9" t="s">
        <v>317</v>
      </c>
      <c r="Q60" s="9"/>
      <c r="R60" s="9" t="s">
        <v>9</v>
      </c>
      <c r="S60" s="9"/>
      <c r="T60" s="9" t="s">
        <v>104</v>
      </c>
      <c r="U60" s="11" t="s">
        <v>355</v>
      </c>
      <c r="V60" s="8">
        <v>45361</v>
      </c>
      <c r="W60" s="11" t="s">
        <v>356</v>
      </c>
      <c r="X60" s="9" t="s">
        <v>104</v>
      </c>
      <c r="Y60" s="11" t="s">
        <v>306</v>
      </c>
      <c r="Z60" s="8">
        <v>45361</v>
      </c>
      <c r="AA60" s="11" t="s">
        <v>357</v>
      </c>
      <c r="AB60" s="9" t="s">
        <v>104</v>
      </c>
      <c r="AC60" s="11" t="s">
        <v>212</v>
      </c>
      <c r="AD60" s="8">
        <v>45361</v>
      </c>
      <c r="AE60" s="11" t="s">
        <v>358</v>
      </c>
      <c r="AF60" s="11" t="s">
        <v>359</v>
      </c>
    </row>
    <row r="61" spans="1:32" x14ac:dyDescent="0.35">
      <c r="A61" s="34" t="s">
        <v>232</v>
      </c>
      <c r="B61" s="23" t="s">
        <v>408</v>
      </c>
      <c r="C61" s="28">
        <v>45320</v>
      </c>
      <c r="D61" s="23" t="s">
        <v>411</v>
      </c>
      <c r="E61" s="9" t="s">
        <v>331</v>
      </c>
      <c r="F61" s="10" t="s">
        <v>43</v>
      </c>
      <c r="G61" s="10" t="s">
        <v>44</v>
      </c>
      <c r="H61" s="23" t="s">
        <v>233</v>
      </c>
      <c r="I61" s="39" t="s">
        <v>312</v>
      </c>
      <c r="J61" s="26"/>
      <c r="K61" s="26"/>
      <c r="L61" s="27">
        <f t="shared" si="0"/>
        <v>0</v>
      </c>
      <c r="M61" s="24"/>
      <c r="N61" s="24"/>
      <c r="O61" s="24"/>
      <c r="P61" s="24"/>
      <c r="Q61" s="24"/>
      <c r="R61" s="24"/>
      <c r="S61" s="24"/>
      <c r="T61" s="24"/>
      <c r="U61" s="25"/>
      <c r="V61" s="28"/>
      <c r="W61" s="25"/>
      <c r="X61" s="24"/>
      <c r="Y61" s="25"/>
      <c r="Z61" s="28"/>
      <c r="AA61" s="25"/>
      <c r="AB61" s="24"/>
      <c r="AC61" s="25"/>
      <c r="AD61" s="28"/>
      <c r="AE61" s="25"/>
      <c r="AF61" s="25"/>
    </row>
    <row r="62" spans="1:32" ht="15" thickBot="1" x14ac:dyDescent="0.4">
      <c r="A62" s="6" t="s">
        <v>234</v>
      </c>
      <c r="B62" s="10" t="s">
        <v>235</v>
      </c>
      <c r="C62" s="15">
        <v>45321</v>
      </c>
      <c r="D62" s="10" t="s">
        <v>60</v>
      </c>
      <c r="E62" s="16"/>
      <c r="F62" s="10" t="s">
        <v>43</v>
      </c>
      <c r="G62" s="10" t="s">
        <v>44</v>
      </c>
      <c r="H62" s="10" t="s">
        <v>236</v>
      </c>
      <c r="I62" s="17"/>
      <c r="J62" s="18"/>
      <c r="K62" s="18"/>
      <c r="L62" s="19">
        <f t="shared" si="0"/>
        <v>0</v>
      </c>
      <c r="M62" s="16"/>
      <c r="N62" s="16"/>
      <c r="O62" s="16"/>
      <c r="P62" s="16"/>
      <c r="Q62" s="16"/>
      <c r="R62" s="16"/>
      <c r="S62" s="16"/>
      <c r="T62" s="16"/>
      <c r="U62" s="17"/>
      <c r="V62" s="15"/>
      <c r="W62" s="17"/>
      <c r="X62" s="16"/>
      <c r="Y62" s="17"/>
      <c r="Z62" s="15"/>
      <c r="AA62" s="17"/>
      <c r="AB62" s="16"/>
      <c r="AC62" s="17"/>
      <c r="AD62" s="15"/>
      <c r="AE62" s="17"/>
      <c r="AF62" s="17"/>
    </row>
    <row r="63" spans="1:32" x14ac:dyDescent="0.35">
      <c r="A63" s="20" t="s">
        <v>237</v>
      </c>
      <c r="B63" s="7" t="s">
        <v>238</v>
      </c>
      <c r="C63" s="8">
        <v>45320</v>
      </c>
      <c r="D63" s="7" t="s">
        <v>67</v>
      </c>
      <c r="E63" s="9" t="s">
        <v>204</v>
      </c>
      <c r="F63" s="10" t="s">
        <v>43</v>
      </c>
      <c r="G63" s="10" t="s">
        <v>44</v>
      </c>
      <c r="H63" s="23" t="s">
        <v>265</v>
      </c>
      <c r="I63" t="s">
        <v>315</v>
      </c>
      <c r="J63">
        <v>65000</v>
      </c>
      <c r="K63" s="12"/>
      <c r="L63" s="13">
        <f t="shared" si="0"/>
        <v>65000</v>
      </c>
      <c r="M63" s="9"/>
      <c r="N63" s="9"/>
      <c r="O63" s="9"/>
      <c r="P63" s="9"/>
      <c r="Q63" s="9"/>
      <c r="R63" s="9"/>
      <c r="S63" s="9"/>
      <c r="T63" s="9"/>
      <c r="U63" s="11"/>
      <c r="V63" s="8"/>
      <c r="W63" s="11"/>
      <c r="X63" s="9"/>
      <c r="Y63" s="11"/>
      <c r="Z63" s="8"/>
      <c r="AA63" s="11"/>
      <c r="AB63" s="9"/>
      <c r="AC63" s="11"/>
      <c r="AD63" s="8"/>
      <c r="AE63" s="11"/>
      <c r="AF63" s="11"/>
    </row>
    <row r="64" spans="1:32" x14ac:dyDescent="0.35">
      <c r="A64" s="6" t="s">
        <v>240</v>
      </c>
      <c r="B64" s="10" t="s">
        <v>241</v>
      </c>
      <c r="C64" s="15">
        <v>45321</v>
      </c>
      <c r="D64" s="10" t="s">
        <v>143</v>
      </c>
      <c r="E64" s="16"/>
      <c r="F64" s="10" t="s">
        <v>43</v>
      </c>
      <c r="G64" s="10" t="s">
        <v>44</v>
      </c>
      <c r="H64" s="10" t="s">
        <v>242</v>
      </c>
      <c r="I64" s="17"/>
      <c r="J64" s="18"/>
      <c r="K64" s="18"/>
      <c r="L64" s="19">
        <f t="shared" si="0"/>
        <v>0</v>
      </c>
      <c r="M64" s="16"/>
      <c r="N64" s="16"/>
      <c r="O64" s="16"/>
      <c r="P64" s="16"/>
      <c r="Q64" s="16"/>
      <c r="R64" s="16"/>
      <c r="S64" s="16"/>
      <c r="T64" s="16"/>
      <c r="U64" s="17"/>
      <c r="V64" s="15"/>
      <c r="W64" s="17"/>
      <c r="X64" s="16"/>
      <c r="Y64" s="17"/>
      <c r="Z64" s="15"/>
      <c r="AA64" s="17"/>
      <c r="AB64" s="16"/>
      <c r="AC64" s="17"/>
      <c r="AD64" s="15"/>
      <c r="AE64" s="17"/>
      <c r="AF64" s="17"/>
    </row>
    <row r="65" spans="1:32" x14ac:dyDescent="0.35">
      <c r="A65" s="14" t="s">
        <v>243</v>
      </c>
      <c r="B65" s="7" t="s">
        <v>244</v>
      </c>
      <c r="C65" s="8">
        <v>45321</v>
      </c>
      <c r="D65" s="7" t="s">
        <v>48</v>
      </c>
      <c r="E65" s="9" t="s">
        <v>326</v>
      </c>
      <c r="F65" s="10" t="s">
        <v>43</v>
      </c>
      <c r="G65" s="10" t="s">
        <v>44</v>
      </c>
      <c r="H65" s="7" t="s">
        <v>245</v>
      </c>
      <c r="I65" s="10" t="s">
        <v>325</v>
      </c>
      <c r="J65" s="18">
        <v>190000</v>
      </c>
      <c r="K65" s="12"/>
      <c r="L65" s="13">
        <f t="shared" si="0"/>
        <v>190000</v>
      </c>
      <c r="M65" s="9">
        <v>2023</v>
      </c>
      <c r="N65" s="9" t="s">
        <v>326</v>
      </c>
      <c r="O65" s="9" t="s">
        <v>100</v>
      </c>
      <c r="P65" s="9" t="s">
        <v>317</v>
      </c>
      <c r="Q65" s="9" t="s">
        <v>209</v>
      </c>
      <c r="R65" s="9" t="s">
        <v>9</v>
      </c>
      <c r="S65" s="9" t="s">
        <v>9</v>
      </c>
      <c r="T65" s="16" t="s">
        <v>104</v>
      </c>
      <c r="U65" s="17" t="s">
        <v>327</v>
      </c>
      <c r="V65" s="15">
        <v>44972</v>
      </c>
      <c r="W65" s="17" t="s">
        <v>328</v>
      </c>
      <c r="X65" s="16" t="s">
        <v>104</v>
      </c>
      <c r="Y65" s="17" t="s">
        <v>329</v>
      </c>
      <c r="Z65" s="15">
        <v>44979</v>
      </c>
      <c r="AA65" s="17" t="s">
        <v>330</v>
      </c>
      <c r="AB65" s="16" t="s">
        <v>104</v>
      </c>
      <c r="AC65" s="17" t="s">
        <v>329</v>
      </c>
      <c r="AD65" s="15">
        <v>44988</v>
      </c>
      <c r="AE65" s="17" t="s">
        <v>330</v>
      </c>
      <c r="AF65" s="11"/>
    </row>
    <row r="66" spans="1:32" x14ac:dyDescent="0.35">
      <c r="A66" s="14" t="s">
        <v>246</v>
      </c>
      <c r="B66" s="10" t="s">
        <v>247</v>
      </c>
      <c r="C66" s="15">
        <v>45321</v>
      </c>
      <c r="D66" s="10" t="s">
        <v>199</v>
      </c>
      <c r="E66" s="16" t="s">
        <v>99</v>
      </c>
      <c r="F66" s="10" t="s">
        <v>43</v>
      </c>
      <c r="G66" s="10" t="s">
        <v>44</v>
      </c>
      <c r="H66" s="10" t="s">
        <v>248</v>
      </c>
      <c r="I66" s="17" t="s">
        <v>339</v>
      </c>
      <c r="J66" s="18">
        <v>160000</v>
      </c>
      <c r="K66" s="18"/>
      <c r="L66" s="19">
        <f t="shared" si="0"/>
        <v>160000</v>
      </c>
      <c r="M66" s="16">
        <v>1024</v>
      </c>
      <c r="N66" s="16" t="s">
        <v>326</v>
      </c>
      <c r="O66" s="16" t="s">
        <v>100</v>
      </c>
      <c r="P66" s="16" t="s">
        <v>317</v>
      </c>
      <c r="Q66" s="16" t="s">
        <v>209</v>
      </c>
      <c r="R66" s="16" t="s">
        <v>103</v>
      </c>
      <c r="S66" s="16" t="s">
        <v>9</v>
      </c>
      <c r="T66" s="16"/>
      <c r="U66" s="17"/>
      <c r="V66" s="15"/>
      <c r="W66" s="17"/>
      <c r="X66" s="16"/>
      <c r="Y66" s="17"/>
      <c r="Z66" s="15"/>
      <c r="AA66" s="17"/>
      <c r="AB66" s="16"/>
      <c r="AC66" s="17"/>
      <c r="AD66" s="15"/>
      <c r="AE66" s="17"/>
      <c r="AF66" s="17"/>
    </row>
    <row r="67" spans="1:32" x14ac:dyDescent="0.35">
      <c r="A67" s="40" t="s">
        <v>249</v>
      </c>
      <c r="B67" s="7" t="s">
        <v>250</v>
      </c>
      <c r="C67" s="8">
        <v>45321</v>
      </c>
      <c r="D67" s="7" t="s">
        <v>230</v>
      </c>
      <c r="E67" s="9" t="s">
        <v>204</v>
      </c>
      <c r="F67" s="10" t="s">
        <v>43</v>
      </c>
      <c r="G67" s="10" t="s">
        <v>44</v>
      </c>
      <c r="H67" s="7" t="s">
        <v>251</v>
      </c>
      <c r="I67" s="11" t="s">
        <v>354</v>
      </c>
      <c r="J67" s="12">
        <v>62500</v>
      </c>
      <c r="K67" s="12"/>
      <c r="L67" s="13">
        <f t="shared" si="0"/>
        <v>62500</v>
      </c>
      <c r="M67" s="9">
        <v>2023</v>
      </c>
      <c r="N67" s="9" t="s">
        <v>204</v>
      </c>
      <c r="O67" s="9" t="s">
        <v>100</v>
      </c>
      <c r="P67" s="9" t="s">
        <v>317</v>
      </c>
      <c r="Q67" s="9"/>
      <c r="R67" s="9" t="s">
        <v>9</v>
      </c>
      <c r="S67" s="9"/>
      <c r="T67" s="9" t="s">
        <v>104</v>
      </c>
      <c r="U67" s="11" t="s">
        <v>355</v>
      </c>
      <c r="V67" s="8">
        <v>45361</v>
      </c>
      <c r="W67" s="11" t="s">
        <v>356</v>
      </c>
      <c r="X67" s="9" t="s">
        <v>104</v>
      </c>
      <c r="Y67" s="11" t="s">
        <v>306</v>
      </c>
      <c r="Z67" s="8">
        <v>45361</v>
      </c>
      <c r="AA67" s="11" t="s">
        <v>357</v>
      </c>
      <c r="AB67" s="9" t="s">
        <v>104</v>
      </c>
      <c r="AC67" s="11" t="s">
        <v>212</v>
      </c>
      <c r="AD67" s="8">
        <v>45361</v>
      </c>
      <c r="AE67" s="11" t="s">
        <v>358</v>
      </c>
      <c r="AF67" s="11" t="s">
        <v>359</v>
      </c>
    </row>
    <row r="68" spans="1:32" x14ac:dyDescent="0.35">
      <c r="A68" s="6" t="s">
        <v>252</v>
      </c>
      <c r="B68" s="10" t="s">
        <v>253</v>
      </c>
      <c r="C68" s="15">
        <v>45320</v>
      </c>
      <c r="D68" s="17" t="s">
        <v>254</v>
      </c>
      <c r="E68" s="16"/>
      <c r="F68" s="10" t="s">
        <v>43</v>
      </c>
      <c r="G68" s="10" t="s">
        <v>44</v>
      </c>
      <c r="H68" s="10" t="s">
        <v>255</v>
      </c>
      <c r="I68" s="17"/>
      <c r="J68" s="18"/>
      <c r="K68" s="18"/>
      <c r="L68" s="19">
        <f t="shared" si="0"/>
        <v>0</v>
      </c>
      <c r="M68" s="16"/>
      <c r="N68" s="16"/>
      <c r="O68" s="16"/>
      <c r="P68" s="16"/>
      <c r="Q68" s="16"/>
      <c r="R68" s="16"/>
      <c r="S68" s="16"/>
      <c r="T68" s="16"/>
      <c r="U68" s="17"/>
      <c r="V68" s="15"/>
      <c r="W68" s="17"/>
      <c r="X68" s="16"/>
      <c r="Y68" s="17"/>
      <c r="Z68" s="15"/>
      <c r="AA68" s="17"/>
      <c r="AB68" s="16"/>
      <c r="AC68" s="17"/>
      <c r="AD68" s="15"/>
      <c r="AE68" s="17"/>
      <c r="AF68" s="17"/>
    </row>
    <row r="69" spans="1:32" ht="15" thickBot="1" x14ac:dyDescent="0.4">
      <c r="A69" s="14" t="s">
        <v>256</v>
      </c>
      <c r="B69" s="7" t="s">
        <v>257</v>
      </c>
      <c r="C69" s="8">
        <v>45321</v>
      </c>
      <c r="D69" s="7" t="s">
        <v>258</v>
      </c>
      <c r="E69" s="9" t="s">
        <v>326</v>
      </c>
      <c r="F69" s="10" t="s">
        <v>43</v>
      </c>
      <c r="G69" s="10" t="s">
        <v>44</v>
      </c>
      <c r="H69" s="7" t="s">
        <v>259</v>
      </c>
      <c r="I69" s="10" t="s">
        <v>325</v>
      </c>
      <c r="J69" s="18">
        <v>190000</v>
      </c>
      <c r="K69" s="12"/>
      <c r="L69" s="13">
        <f t="shared" si="0"/>
        <v>190000</v>
      </c>
      <c r="M69" s="9">
        <v>2022</v>
      </c>
      <c r="N69" s="9" t="s">
        <v>326</v>
      </c>
      <c r="O69" s="9" t="s">
        <v>100</v>
      </c>
      <c r="P69" s="9" t="s">
        <v>317</v>
      </c>
      <c r="Q69" s="9" t="s">
        <v>209</v>
      </c>
      <c r="R69" s="9" t="s">
        <v>9</v>
      </c>
      <c r="S69" s="9" t="s">
        <v>9</v>
      </c>
      <c r="T69" s="9" t="s">
        <v>104</v>
      </c>
      <c r="U69" s="17" t="s">
        <v>327</v>
      </c>
      <c r="V69" s="15">
        <v>44789</v>
      </c>
      <c r="W69" s="17" t="s">
        <v>343</v>
      </c>
      <c r="X69" s="16" t="s">
        <v>104</v>
      </c>
      <c r="Y69" s="17" t="s">
        <v>329</v>
      </c>
      <c r="Z69" s="15">
        <v>44795</v>
      </c>
      <c r="AA69" s="17" t="s">
        <v>345</v>
      </c>
      <c r="AB69" s="16" t="s">
        <v>104</v>
      </c>
      <c r="AC69" s="17" t="s">
        <v>347</v>
      </c>
      <c r="AD69" s="15">
        <v>45167</v>
      </c>
      <c r="AE69" s="17" t="s">
        <v>328</v>
      </c>
      <c r="AF69" s="11"/>
    </row>
    <row r="70" spans="1:32" ht="15" thickBot="1" x14ac:dyDescent="0.4">
      <c r="A70" s="6" t="s">
        <v>260</v>
      </c>
      <c r="B70" s="10" t="s">
        <v>261</v>
      </c>
      <c r="C70" s="15">
        <v>45321</v>
      </c>
      <c r="D70" s="10" t="s">
        <v>143</v>
      </c>
      <c r="E70" s="16"/>
      <c r="F70" s="10" t="s">
        <v>43</v>
      </c>
      <c r="G70" s="10" t="s">
        <v>44</v>
      </c>
      <c r="H70" s="23" t="s">
        <v>262</v>
      </c>
      <c r="I70" s="17"/>
      <c r="J70" s="18"/>
      <c r="K70" s="18"/>
      <c r="L70" s="19">
        <f t="shared" si="0"/>
        <v>0</v>
      </c>
      <c r="M70" s="16"/>
      <c r="N70" s="16"/>
      <c r="O70" s="16"/>
      <c r="P70" s="16"/>
      <c r="Q70" s="16"/>
      <c r="R70" s="16"/>
      <c r="S70" s="16"/>
      <c r="T70" s="16"/>
      <c r="U70" s="17"/>
      <c r="V70" s="15"/>
      <c r="W70" s="17"/>
      <c r="X70" s="16"/>
      <c r="Y70" s="17"/>
      <c r="Z70" s="15"/>
      <c r="AA70" s="17"/>
      <c r="AB70" s="16"/>
      <c r="AC70" s="17"/>
      <c r="AD70" s="15"/>
      <c r="AE70" s="17"/>
      <c r="AF70" s="17"/>
    </row>
    <row r="71" spans="1:32" x14ac:dyDescent="0.35">
      <c r="A71" s="34" t="s">
        <v>263</v>
      </c>
      <c r="B71" s="23" t="s">
        <v>264</v>
      </c>
      <c r="C71" s="8">
        <v>45320</v>
      </c>
      <c r="D71" s="23" t="s">
        <v>52</v>
      </c>
      <c r="E71" s="9" t="s">
        <v>331</v>
      </c>
      <c r="F71" s="10" t="s">
        <v>43</v>
      </c>
      <c r="G71" s="10" t="s">
        <v>44</v>
      </c>
      <c r="H71" s="7" t="s">
        <v>239</v>
      </c>
      <c r="I71" s="39" t="s">
        <v>324</v>
      </c>
      <c r="J71" s="26"/>
      <c r="K71" s="26"/>
      <c r="L71" s="27">
        <f t="shared" si="0"/>
        <v>0</v>
      </c>
      <c r="M71" s="24"/>
      <c r="N71" s="24"/>
      <c r="O71" s="24"/>
      <c r="P71" s="24"/>
      <c r="Q71" s="24"/>
      <c r="R71" s="24"/>
      <c r="S71" s="24"/>
      <c r="T71" s="24"/>
      <c r="U71" s="25"/>
      <c r="V71" s="28"/>
      <c r="W71" s="25"/>
      <c r="X71" s="24"/>
      <c r="Y71" s="25"/>
      <c r="Z71" s="28"/>
      <c r="AA71" s="25"/>
      <c r="AB71" s="24"/>
      <c r="AC71" s="25"/>
      <c r="AD71" s="28"/>
      <c r="AE71" s="25"/>
      <c r="AF71" s="25"/>
    </row>
    <row r="72" spans="1:32" x14ac:dyDescent="0.35">
      <c r="A72" s="21" t="s">
        <v>266</v>
      </c>
      <c r="B72" s="10" t="s">
        <v>267</v>
      </c>
      <c r="C72" s="15">
        <v>45321</v>
      </c>
      <c r="D72" s="10" t="s">
        <v>219</v>
      </c>
      <c r="E72" s="16" t="s">
        <v>360</v>
      </c>
      <c r="F72" s="10" t="s">
        <v>43</v>
      </c>
      <c r="G72" s="10" t="s">
        <v>44</v>
      </c>
      <c r="H72" s="10" t="s">
        <v>268</v>
      </c>
      <c r="I72" s="17" t="s">
        <v>361</v>
      </c>
      <c r="J72" s="18">
        <v>5000</v>
      </c>
      <c r="K72" s="18"/>
      <c r="L72" s="19">
        <f t="shared" si="0"/>
        <v>5000</v>
      </c>
      <c r="M72" s="16">
        <v>2023</v>
      </c>
      <c r="N72" s="16" t="s">
        <v>360</v>
      </c>
      <c r="O72" s="16" t="s">
        <v>352</v>
      </c>
      <c r="P72" s="16" t="s">
        <v>317</v>
      </c>
      <c r="Q72" s="16" t="s">
        <v>209</v>
      </c>
      <c r="R72" s="16" t="s">
        <v>9</v>
      </c>
      <c r="S72" s="16" t="s">
        <v>9</v>
      </c>
      <c r="T72" s="16" t="s">
        <v>104</v>
      </c>
      <c r="U72" s="7" t="s">
        <v>389</v>
      </c>
      <c r="V72" s="15">
        <v>45210</v>
      </c>
      <c r="W72" s="7" t="s">
        <v>390</v>
      </c>
      <c r="X72" s="16"/>
      <c r="Y72" s="17"/>
      <c r="Z72" s="15"/>
      <c r="AA72" s="17"/>
      <c r="AB72" s="16"/>
      <c r="AC72" s="17"/>
      <c r="AD72" s="15"/>
      <c r="AE72" s="17"/>
      <c r="AF72" s="17"/>
    </row>
    <row r="73" spans="1:32" x14ac:dyDescent="0.35">
      <c r="A73" s="32" t="s">
        <v>269</v>
      </c>
      <c r="B73" s="7" t="s">
        <v>270</v>
      </c>
      <c r="C73" s="8">
        <v>45321</v>
      </c>
      <c r="D73" s="7" t="s">
        <v>271</v>
      </c>
      <c r="E73" s="9" t="s">
        <v>116</v>
      </c>
      <c r="F73" s="10" t="s">
        <v>43</v>
      </c>
      <c r="G73" s="10" t="s">
        <v>44</v>
      </c>
      <c r="H73" s="7" t="s">
        <v>272</v>
      </c>
      <c r="I73" s="17" t="s">
        <v>323</v>
      </c>
      <c r="J73" s="12">
        <v>570</v>
      </c>
      <c r="K73" s="18"/>
      <c r="L73" s="19">
        <f t="shared" si="0"/>
        <v>570</v>
      </c>
      <c r="M73" s="16">
        <v>2019</v>
      </c>
      <c r="N73" s="9" t="s">
        <v>116</v>
      </c>
      <c r="O73" s="9" t="s">
        <v>100</v>
      </c>
      <c r="P73" s="9" t="s">
        <v>317</v>
      </c>
      <c r="Q73" s="9" t="s">
        <v>209</v>
      </c>
      <c r="R73" s="9" t="s">
        <v>9</v>
      </c>
      <c r="S73" s="9" t="s">
        <v>9</v>
      </c>
      <c r="T73" s="9" t="s">
        <v>104</v>
      </c>
      <c r="U73" s="11" t="s">
        <v>318</v>
      </c>
      <c r="V73" s="8">
        <v>45000</v>
      </c>
      <c r="W73" s="11" t="s">
        <v>319</v>
      </c>
      <c r="X73" s="9" t="s">
        <v>214</v>
      </c>
      <c r="Y73" s="11" t="s">
        <v>320</v>
      </c>
      <c r="Z73" s="8">
        <v>45015</v>
      </c>
      <c r="AA73" s="11" t="s">
        <v>321</v>
      </c>
      <c r="AB73" s="9"/>
      <c r="AC73" s="11"/>
      <c r="AD73" s="8"/>
      <c r="AE73" s="11"/>
      <c r="AF73" s="11"/>
    </row>
    <row r="74" spans="1:32" x14ac:dyDescent="0.35">
      <c r="A74" s="6" t="s">
        <v>273</v>
      </c>
      <c r="B74" s="10" t="s">
        <v>274</v>
      </c>
      <c r="C74" s="15">
        <v>45320</v>
      </c>
      <c r="D74" s="10" t="s">
        <v>254</v>
      </c>
      <c r="E74" s="16"/>
      <c r="F74" s="10" t="s">
        <v>43</v>
      </c>
      <c r="G74" s="10" t="s">
        <v>44</v>
      </c>
      <c r="H74" s="10" t="s">
        <v>275</v>
      </c>
      <c r="I74" s="17"/>
      <c r="J74" s="18"/>
      <c r="K74" s="18"/>
      <c r="L74" s="19">
        <f t="shared" si="0"/>
        <v>0</v>
      </c>
      <c r="M74" s="16"/>
      <c r="N74" s="16"/>
      <c r="O74" s="16"/>
      <c r="P74" s="16"/>
      <c r="Q74" s="16"/>
      <c r="R74" s="16"/>
      <c r="S74" s="16"/>
      <c r="T74" s="16"/>
      <c r="U74" s="17"/>
      <c r="V74" s="15"/>
      <c r="W74" s="17"/>
      <c r="X74" s="16"/>
      <c r="Y74" s="17"/>
      <c r="Z74" s="15"/>
      <c r="AA74" s="17"/>
      <c r="AB74" s="16"/>
      <c r="AC74" s="17"/>
      <c r="AD74" s="15"/>
      <c r="AE74" s="17"/>
      <c r="AF74" s="17"/>
    </row>
    <row r="75" spans="1:32" x14ac:dyDescent="0.35">
      <c r="A75" s="31" t="s">
        <v>276</v>
      </c>
      <c r="B75" s="7" t="s">
        <v>277</v>
      </c>
      <c r="C75" s="8">
        <v>45321</v>
      </c>
      <c r="D75" s="7" t="s">
        <v>132</v>
      </c>
      <c r="E75" s="9" t="s">
        <v>207</v>
      </c>
      <c r="F75" s="10" t="s">
        <v>43</v>
      </c>
      <c r="G75" s="10" t="s">
        <v>44</v>
      </c>
      <c r="H75" s="7" t="s">
        <v>278</v>
      </c>
      <c r="I75" s="11" t="s">
        <v>348</v>
      </c>
      <c r="J75" s="12">
        <v>133000</v>
      </c>
      <c r="K75" s="12"/>
      <c r="L75" s="13">
        <f t="shared" ref="L75" si="1">IF(ISBLANK(J75),K75*0.404686,J75)</f>
        <v>133000</v>
      </c>
      <c r="M75" s="9">
        <v>2023</v>
      </c>
      <c r="N75" s="9" t="s">
        <v>116</v>
      </c>
      <c r="O75" s="9" t="s">
        <v>352</v>
      </c>
      <c r="P75" s="9" t="s">
        <v>317</v>
      </c>
      <c r="Q75" s="9" t="s">
        <v>102</v>
      </c>
      <c r="R75" s="9" t="s">
        <v>9</v>
      </c>
      <c r="S75" s="9"/>
      <c r="T75" s="9" t="s">
        <v>104</v>
      </c>
      <c r="U75" s="11" t="s">
        <v>353</v>
      </c>
      <c r="V75" s="8">
        <v>45265</v>
      </c>
      <c r="W75" s="11"/>
      <c r="X75" s="9"/>
      <c r="Y75" s="11"/>
      <c r="Z75" s="8"/>
      <c r="AA75" s="11"/>
      <c r="AB75" s="9"/>
      <c r="AC75" s="11"/>
      <c r="AD75" s="8"/>
      <c r="AE75" s="11"/>
      <c r="AF75" s="11"/>
    </row>
    <row r="76" spans="1:32" x14ac:dyDescent="0.35">
      <c r="A76" s="14" t="s">
        <v>279</v>
      </c>
      <c r="B76" s="10" t="s">
        <v>280</v>
      </c>
      <c r="C76" s="15">
        <v>45321</v>
      </c>
      <c r="D76" s="10" t="s">
        <v>281</v>
      </c>
      <c r="E76" s="16" t="s">
        <v>99</v>
      </c>
      <c r="F76" s="10" t="s">
        <v>43</v>
      </c>
      <c r="G76" s="10" t="s">
        <v>44</v>
      </c>
      <c r="H76" s="10" t="s">
        <v>282</v>
      </c>
      <c r="I76" s="17" t="s">
        <v>339</v>
      </c>
      <c r="J76" s="18">
        <v>160000</v>
      </c>
      <c r="K76" s="18"/>
      <c r="L76" s="19">
        <f t="shared" ref="L76:L82" si="2">IF(ISBLANK(J76),K76*0.404686,J76)</f>
        <v>160000</v>
      </c>
      <c r="M76" s="16">
        <v>1024</v>
      </c>
      <c r="N76" s="16" t="s">
        <v>326</v>
      </c>
      <c r="O76" s="16" t="s">
        <v>100</v>
      </c>
      <c r="P76" s="16" t="s">
        <v>317</v>
      </c>
      <c r="Q76" s="16" t="s">
        <v>209</v>
      </c>
      <c r="R76" s="16" t="s">
        <v>103</v>
      </c>
      <c r="S76" s="16" t="s">
        <v>9</v>
      </c>
      <c r="T76" s="16"/>
      <c r="U76" s="17"/>
      <c r="V76" s="15"/>
      <c r="W76" s="17"/>
      <c r="X76" s="16"/>
      <c r="Y76" s="17"/>
      <c r="Z76" s="15"/>
      <c r="AA76" s="17"/>
      <c r="AB76" s="16"/>
      <c r="AC76" s="17"/>
      <c r="AD76" s="15"/>
      <c r="AE76" s="17"/>
      <c r="AF76" s="17"/>
    </row>
    <row r="77" spans="1:32" x14ac:dyDescent="0.35">
      <c r="A77" s="14" t="s">
        <v>283</v>
      </c>
      <c r="B77" s="7" t="s">
        <v>284</v>
      </c>
      <c r="C77" s="8">
        <v>45321</v>
      </c>
      <c r="D77" s="7" t="s">
        <v>82</v>
      </c>
      <c r="E77" s="9" t="s">
        <v>326</v>
      </c>
      <c r="F77" s="10" t="s">
        <v>43</v>
      </c>
      <c r="G77" s="10" t="s">
        <v>44</v>
      </c>
      <c r="H77" s="7" t="s">
        <v>285</v>
      </c>
      <c r="I77" s="10" t="s">
        <v>325</v>
      </c>
      <c r="J77" s="18">
        <v>190000</v>
      </c>
      <c r="K77" s="12"/>
      <c r="L77" s="13">
        <f t="shared" si="2"/>
        <v>190000</v>
      </c>
      <c r="M77" s="9">
        <v>2022</v>
      </c>
      <c r="N77" s="9" t="s">
        <v>326</v>
      </c>
      <c r="O77" s="9" t="s">
        <v>100</v>
      </c>
      <c r="P77" s="9" t="s">
        <v>317</v>
      </c>
      <c r="Q77" s="9" t="s">
        <v>209</v>
      </c>
      <c r="R77" s="9" t="s">
        <v>9</v>
      </c>
      <c r="S77" s="9" t="s">
        <v>9</v>
      </c>
      <c r="T77" s="16" t="s">
        <v>104</v>
      </c>
      <c r="U77" s="17" t="s">
        <v>342</v>
      </c>
      <c r="V77" s="15">
        <v>44581</v>
      </c>
      <c r="W77" s="17" t="s">
        <v>343</v>
      </c>
      <c r="X77" s="16" t="s">
        <v>104</v>
      </c>
      <c r="Y77" s="17" t="s">
        <v>344</v>
      </c>
      <c r="Z77" s="15">
        <v>44588</v>
      </c>
      <c r="AA77" s="17" t="s">
        <v>345</v>
      </c>
      <c r="AB77" s="16" t="s">
        <v>104</v>
      </c>
      <c r="AC77" s="17" t="s">
        <v>342</v>
      </c>
      <c r="AD77" s="15">
        <v>44594</v>
      </c>
      <c r="AE77" s="17" t="s">
        <v>330</v>
      </c>
      <c r="AF77" s="11"/>
    </row>
    <row r="78" spans="1:32" x14ac:dyDescent="0.35">
      <c r="A78" s="21" t="s">
        <v>286</v>
      </c>
      <c r="B78" s="10" t="s">
        <v>287</v>
      </c>
      <c r="C78" s="15">
        <v>45321</v>
      </c>
      <c r="D78" s="10" t="s">
        <v>288</v>
      </c>
      <c r="E78" s="16" t="s">
        <v>360</v>
      </c>
      <c r="F78" s="10" t="s">
        <v>43</v>
      </c>
      <c r="G78" s="10" t="s">
        <v>44</v>
      </c>
      <c r="H78" s="10" t="s">
        <v>289</v>
      </c>
      <c r="I78" s="17" t="s">
        <v>361</v>
      </c>
      <c r="J78" s="18">
        <v>10000</v>
      </c>
      <c r="K78" s="18"/>
      <c r="L78" s="19">
        <f t="shared" si="2"/>
        <v>10000</v>
      </c>
      <c r="M78" s="16">
        <v>2023</v>
      </c>
      <c r="N78" s="16" t="s">
        <v>362</v>
      </c>
      <c r="O78" s="16" t="s">
        <v>100</v>
      </c>
      <c r="P78" s="16" t="s">
        <v>365</v>
      </c>
      <c r="Q78" s="16" t="s">
        <v>395</v>
      </c>
      <c r="R78" s="16" t="s">
        <v>9</v>
      </c>
      <c r="S78" s="16" t="s">
        <v>9</v>
      </c>
      <c r="T78" s="16" t="s">
        <v>104</v>
      </c>
      <c r="U78" s="10" t="s">
        <v>396</v>
      </c>
      <c r="V78" s="15">
        <v>45271</v>
      </c>
      <c r="W78" s="10" t="s">
        <v>397</v>
      </c>
      <c r="X78" s="16"/>
      <c r="Y78" s="17"/>
      <c r="Z78" s="15"/>
      <c r="AA78" s="17"/>
      <c r="AB78" s="16"/>
      <c r="AC78" s="17"/>
      <c r="AD78" s="15"/>
      <c r="AE78" s="17"/>
      <c r="AF78" s="17"/>
    </row>
    <row r="79" spans="1:32" x14ac:dyDescent="0.35">
      <c r="A79" s="21" t="s">
        <v>290</v>
      </c>
      <c r="B79" s="7" t="s">
        <v>291</v>
      </c>
      <c r="C79" s="8">
        <v>45321</v>
      </c>
      <c r="D79" s="7" t="s">
        <v>292</v>
      </c>
      <c r="E79" s="9" t="s">
        <v>360</v>
      </c>
      <c r="F79" s="10" t="s">
        <v>43</v>
      </c>
      <c r="G79" s="10" t="s">
        <v>44</v>
      </c>
      <c r="H79" s="7" t="s">
        <v>293</v>
      </c>
      <c r="I79" s="11" t="s">
        <v>361</v>
      </c>
      <c r="J79" s="12">
        <v>10000</v>
      </c>
      <c r="K79" s="12"/>
      <c r="L79" s="13">
        <f t="shared" si="2"/>
        <v>10000</v>
      </c>
      <c r="M79" s="9">
        <v>2023</v>
      </c>
      <c r="N79" s="9" t="s">
        <v>360</v>
      </c>
      <c r="O79" s="9" t="s">
        <v>352</v>
      </c>
      <c r="P79" s="9" t="s">
        <v>317</v>
      </c>
      <c r="Q79" s="9" t="s">
        <v>102</v>
      </c>
      <c r="R79" s="9" t="s">
        <v>9</v>
      </c>
      <c r="S79" s="9" t="s">
        <v>9</v>
      </c>
      <c r="T79" s="9" t="s">
        <v>104</v>
      </c>
      <c r="U79" s="10" t="s">
        <v>398</v>
      </c>
      <c r="V79" s="15">
        <v>45225</v>
      </c>
      <c r="W79" s="7" t="s">
        <v>399</v>
      </c>
      <c r="X79" s="9" t="s">
        <v>104</v>
      </c>
      <c r="Y79" s="10" t="s">
        <v>400</v>
      </c>
      <c r="Z79" s="15">
        <v>45250</v>
      </c>
      <c r="AA79" s="7" t="s">
        <v>401</v>
      </c>
      <c r="AB79" s="9"/>
      <c r="AC79" s="11"/>
      <c r="AD79" s="8"/>
      <c r="AE79" s="11"/>
      <c r="AF79" s="11"/>
    </row>
    <row r="80" spans="1:32" ht="15" thickBot="1" x14ac:dyDescent="0.4">
      <c r="A80" s="6" t="s">
        <v>294</v>
      </c>
      <c r="B80" s="10" t="s">
        <v>295</v>
      </c>
      <c r="C80" s="15">
        <v>45321</v>
      </c>
      <c r="D80" s="10" t="s">
        <v>42</v>
      </c>
      <c r="E80" s="16"/>
      <c r="F80" s="10" t="s">
        <v>43</v>
      </c>
      <c r="G80" s="10" t="s">
        <v>44</v>
      </c>
      <c r="H80" s="10" t="s">
        <v>296</v>
      </c>
      <c r="I80" s="17"/>
      <c r="J80" s="18"/>
      <c r="K80" s="18"/>
      <c r="L80" s="19">
        <f t="shared" si="2"/>
        <v>0</v>
      </c>
      <c r="M80" s="16"/>
      <c r="N80" s="16"/>
      <c r="O80" s="16"/>
      <c r="P80" s="16"/>
      <c r="Q80" s="16"/>
      <c r="R80" s="16"/>
      <c r="S80" s="16"/>
      <c r="T80" s="16"/>
      <c r="U80" s="17"/>
      <c r="V80" s="15"/>
      <c r="W80" s="17"/>
      <c r="X80" s="16"/>
      <c r="Y80" s="17"/>
      <c r="Z80" s="15"/>
      <c r="AA80" s="17"/>
      <c r="AB80" s="16"/>
      <c r="AC80" s="17"/>
      <c r="AD80" s="15"/>
      <c r="AE80" s="17"/>
      <c r="AF80" s="17"/>
    </row>
    <row r="81" spans="1:32" x14ac:dyDescent="0.35">
      <c r="A81" s="36" t="s">
        <v>297</v>
      </c>
      <c r="B81" s="23" t="s">
        <v>298</v>
      </c>
      <c r="C81" s="8">
        <v>45321</v>
      </c>
      <c r="D81" s="23" t="s">
        <v>299</v>
      </c>
      <c r="E81" s="24"/>
      <c r="F81" s="10" t="s">
        <v>43</v>
      </c>
      <c r="G81" s="10" t="s">
        <v>44</v>
      </c>
      <c r="H81" s="23" t="s">
        <v>300</v>
      </c>
      <c r="I81" s="25"/>
      <c r="J81" s="26"/>
      <c r="K81" s="26"/>
      <c r="L81" s="27">
        <f t="shared" si="2"/>
        <v>0</v>
      </c>
      <c r="M81" s="24"/>
      <c r="N81" s="24"/>
      <c r="O81" s="24"/>
      <c r="P81" s="24"/>
      <c r="Q81" s="24"/>
      <c r="R81" s="24"/>
      <c r="S81" s="24"/>
      <c r="T81" s="24"/>
      <c r="U81" s="25"/>
      <c r="V81" s="28"/>
      <c r="W81" s="25"/>
      <c r="X81" s="24"/>
      <c r="Y81" s="25"/>
      <c r="Z81" s="28"/>
      <c r="AA81" s="25"/>
      <c r="AB81" s="24"/>
      <c r="AC81" s="25"/>
      <c r="AD81" s="28"/>
      <c r="AE81" s="25"/>
      <c r="AF81" s="25"/>
    </row>
    <row r="82" spans="1:32" x14ac:dyDescent="0.35">
      <c r="A82" s="14" t="s">
        <v>301</v>
      </c>
      <c r="B82" s="10" t="s">
        <v>302</v>
      </c>
      <c r="C82" s="15">
        <v>45321</v>
      </c>
      <c r="D82" s="10" t="s">
        <v>258</v>
      </c>
      <c r="E82" s="41" t="s">
        <v>326</v>
      </c>
      <c r="F82" s="10" t="s">
        <v>43</v>
      </c>
      <c r="G82" s="10" t="s">
        <v>44</v>
      </c>
      <c r="H82" s="10" t="s">
        <v>303</v>
      </c>
      <c r="I82" s="10" t="s">
        <v>325</v>
      </c>
      <c r="J82" s="18">
        <v>190000</v>
      </c>
      <c r="K82" s="18"/>
      <c r="L82" s="19">
        <f t="shared" si="2"/>
        <v>190000</v>
      </c>
      <c r="M82" s="16">
        <v>2022</v>
      </c>
      <c r="N82" s="16" t="s">
        <v>346</v>
      </c>
      <c r="O82" s="16" t="s">
        <v>100</v>
      </c>
      <c r="P82" s="16" t="s">
        <v>317</v>
      </c>
      <c r="Q82" s="16" t="s">
        <v>209</v>
      </c>
      <c r="R82" s="16" t="s">
        <v>9</v>
      </c>
      <c r="S82" s="16" t="s">
        <v>9</v>
      </c>
      <c r="T82" s="9" t="s">
        <v>104</v>
      </c>
      <c r="U82" s="17" t="s">
        <v>327</v>
      </c>
      <c r="V82" s="15">
        <v>44789</v>
      </c>
      <c r="W82" s="17" t="s">
        <v>343</v>
      </c>
      <c r="X82" s="16" t="s">
        <v>104</v>
      </c>
      <c r="Y82" s="17" t="s">
        <v>329</v>
      </c>
      <c r="Z82" s="15">
        <v>44795</v>
      </c>
      <c r="AA82" s="17" t="s">
        <v>345</v>
      </c>
      <c r="AB82" s="16" t="s">
        <v>104</v>
      </c>
      <c r="AC82" s="17" t="s">
        <v>347</v>
      </c>
      <c r="AD82" s="15">
        <v>45167</v>
      </c>
      <c r="AE82" s="17" t="s">
        <v>328</v>
      </c>
      <c r="AF82" s="17"/>
    </row>
  </sheetData>
  <mergeCells count="14">
    <mergeCell ref="A8:E9"/>
    <mergeCell ref="A1:D1"/>
    <mergeCell ref="A2:B2"/>
    <mergeCell ref="A3:B3"/>
    <mergeCell ref="A4:A5"/>
    <mergeCell ref="A6:B6"/>
    <mergeCell ref="F8:H8"/>
    <mergeCell ref="I8:S9"/>
    <mergeCell ref="T8:AE8"/>
    <mergeCell ref="AF8:AF9"/>
    <mergeCell ref="F9:G9"/>
    <mergeCell ref="T9:W9"/>
    <mergeCell ref="X9:AA9"/>
    <mergeCell ref="AB9:AE9"/>
  </mergeCells>
  <dataValidations count="17">
    <dataValidation type="whole" allowBlank="1" showDropDown="1" showInputMessage="1" showErrorMessage="1" errorTitle="Error de entrada" error="Número entero between 0 and 2023" promptTitle="Año plantación" prompt="Inserta un número entero, valor mínimo 0, valor máximo 2023" sqref="M11:M82" xr:uid="{DD906B2A-E9E7-4DCD-9B01-8D750C718F45}">
      <formula1>0</formula1>
      <formula2>2023</formula2>
    </dataValidation>
    <dataValidation showDropDown="1" promptTitle="Density DB (plants/hectare)" sqref="L11:L82" xr:uid="{2B4CD674-8312-4552-9A2D-76E33BAA299E}"/>
    <dataValidation type="decimal" operator="greaterThanOrEqual" allowBlank="1" showDropDown="1" showInputMessage="1" showErrorMessage="1" errorTitle="Error de entrada" error="Número real &gt;= 0" promptTitle="Densidad (plantas/acre)" prompt="Inserta un número real, valor mínimo 0" sqref="K11:K82" xr:uid="{8B2665D6-C006-4BD6-A929-DEF4AADFE4C5}">
      <formula1>0</formula1>
    </dataValidation>
    <dataValidation type="decimal" operator="greaterThanOrEqual" allowBlank="1" showDropDown="1" showInputMessage="1" showErrorMessage="1" errorTitle="Error de entrada" error="Número real &gt;= 0" promptTitle="Densidad (plantas/hectarea)" prompt="Inserta un número real, valor mínimo 0" sqref="J37:J51 J11:J12 J14:J15 J53:J62 J17:J35 J64:J82" xr:uid="{CCC43F46-536C-45BB-97A7-C46F4F7096E2}">
      <formula1>0</formula1>
    </dataValidation>
    <dataValidation type="textLength" operator="lessThan" allowBlank="1" showDropDown="1" showInputMessage="1" showErrorMessage="1" errorTitle="Error de entrada" error="Valor de tener menos de 100 caracteres" promptTitle="Variedad" prompt="Introduce un valor (longitud máxima 100 caracteres)" sqref="I60 I11:I12 I64:I70 I14:I15 I31:I32 I19:I21 I17 I34:I35 I37:I38 I24:I29 I44 I49 I53 I46:I47 I55:I58 I62 I40:I42 I72:I82" xr:uid="{B982F491-031F-4A0E-A420-8199ABB948B0}">
      <formula1>100</formula1>
    </dataValidation>
    <dataValidation showDropDown="1" showInputMessage="1" promptTitle="Grados Minutos Segundos (DMS)  o Grados Decimales (DD)" prompt="Inserta coordenadas en formato Grados Minutos Segundos (DMS)._x000a_Ejemplo: 41°39'51,5&quot;N 4°42'15,3&quot;W_x000a_O en Grados Decimales (DD)._x000a_Ejemplo: 41,664 -4,704" sqref="H11:H82" xr:uid="{305779EC-A257-4146-961A-5D82F834CEF2}"/>
    <dataValidation type="textLength" operator="lessThan" allowBlank="1" showDropDown="1" showInputMessage="1" showErrorMessage="1" errorTitle="Error de entrada" error="Valor de tener menos de 100 caracteres" promptTitle="País" prompt="Introduce un valor (longitud máxima 100 caracteres)" sqref="G11:G82" xr:uid="{C1DE34B7-ABA5-4BE9-B8C4-7EB7343A033B}">
      <formula1>100</formula1>
    </dataValidation>
    <dataValidation type="textLength" operator="lessThan" allowBlank="1" showDropDown="1" showInputMessage="1" showErrorMessage="1" errorTitle="Error de entrada" error="Valor de tener menos de 100 caracteres" promptTitle="Ciudad" prompt="Introduce un valor (longitud máxima 100 caracteres)" sqref="F11:F82" xr:uid="{BF8630CA-402F-4B4D-A798-F256CDCBA25B}">
      <formula1>100</formula1>
    </dataValidation>
    <dataValidation type="textLength" operator="lessThan" allowBlank="1" showDropDown="1" showInputMessage="1" showErrorMessage="1" errorTitle="Error de entrada" error="Valor de tener menos de 100 caracteres" promptTitle="Nombre de parcela" prompt="Introduce un valor (longitud máxima 100 caracteres)" sqref="D11:D82" xr:uid="{AF9DEB1A-0A84-4CB7-B992-EBC6C0790797}">
      <formula1>100</formula1>
    </dataValidation>
    <dataValidation type="textLength" operator="lessThan" allowBlank="1" showDropDown="1" showInputMessage="1" showErrorMessage="1" errorTitle="Error de entrada" error="Valor de tener menos de 100 caracteres" promptTitle="Email" prompt="Introduce un valor (longitud máxima 100 caracteres)" sqref="C5" xr:uid="{50221ADB-121A-4131-9AB8-E87ACA287CBE}">
      <formula1>100</formula1>
    </dataValidation>
    <dataValidation type="date" operator="greaterThan" allowBlank="1" showDropDown="1" showInputMessage="1" showErrorMessage="1" errorTitle="Error de entrada" error="Fecha no válida" promptTitle="Fecha de recolección" prompt="Introduce una fecha" sqref="C11:C82" xr:uid="{29D8C0BB-7D94-4C81-9DF2-9E5D8DACD47C}">
      <formula1>1</formula1>
    </dataValidation>
    <dataValidation type="textLength" operator="lessThan" allowBlank="1" showDropDown="1" showInputMessage="1" showErrorMessage="1" errorTitle="Error de entrada" error="Valor de tener menos de 200 caracteres" promptTitle="Nombre de muestra" prompt="Introduce un valor (longitud máxima 200 caracteres)" sqref="B11:B82" xr:uid="{6266F869-300E-41F5-B538-3F2A5BE124BD}">
      <formula1>200</formula1>
    </dataValidation>
    <dataValidation type="textLength" operator="lessThan" allowBlank="1" showDropDown="1" showInputMessage="1" showErrorMessage="1" errorTitle="Error de entrada" error="Valor de tener menos de 200 caracteres" promptTitle="Comentarios" prompt="Introduce un valor (longitud máxima 200 caracteres)" sqref="AF11:AF82" xr:uid="{78244BC0-8745-4674-A065-DD3272D9F683}">
      <formula1>200</formula1>
    </dataValidation>
    <dataValidation type="textLength" operator="lessThan" allowBlank="1" showDropDown="1" showInputMessage="1" showErrorMessage="1" errorTitle="Error de entrada" error="Valor de tener menos de 100 caracteres" promptTitle="Nombre" prompt="Introduce un valor (longitud máxima 100 caracteres)" sqref="C4 AC11:AC82 U11:U82 Y11:Y82" xr:uid="{1546CC9A-8B7A-47A2-AE4D-EF4AB139F557}">
      <formula1>100</formula1>
    </dataValidation>
    <dataValidation type="textLength" operator="lessThan" allowBlank="1" showDropDown="1" showInputMessage="1" showErrorMessage="1" errorTitle="Error de entrada" error="Valor de tener menos de 100 caracteres" promptTitle="Dosis" prompt="Introduce un valor (longitud máxima 100 caracteres)" sqref="AE11:AE82 W11:W82 AA11:AA82" xr:uid="{224A5052-4AAF-4E0D-A3AD-F1DAC3266202}">
      <formula1>100</formula1>
    </dataValidation>
    <dataValidation type="date" operator="greaterThan" allowBlank="1" showDropDown="1" showInputMessage="1" showErrorMessage="1" errorTitle="Error de entrada" error="Fecha no válida" promptTitle="Fecha de aplicación" prompt="Introduce una fecha" sqref="AD11:AD82 V11:V82 Z11:Z82" xr:uid="{A4BE40A1-378C-403E-8A8F-7D15EAF49FBB}">
      <formula1>1</formula1>
    </dataValidation>
    <dataValidation type="textLength" operator="equal" allowBlank="1" showDropDown="1" showInputMessage="1" showErrorMessage="1" errorTitle="Error de entrada" error="Código debe tener 6 caracteres" promptTitle="Código" prompt="Código de 6 caracteres del tubo" sqref="A11:A82" xr:uid="{426F045B-3EA0-4A82-A531-75C5754B9F2E}">
      <formula1>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Reyes, Michael (Alliance Bioversity-CIAT)</dc:creator>
  <cp:lastModifiedBy>Rodriguez Reyes, Michael (Alliance Bioversity-CIAT)</cp:lastModifiedBy>
  <dcterms:created xsi:type="dcterms:W3CDTF">2024-02-16T18:51:03Z</dcterms:created>
  <dcterms:modified xsi:type="dcterms:W3CDTF">2026-05-21T17:41:20Z</dcterms:modified>
</cp:coreProperties>
</file>